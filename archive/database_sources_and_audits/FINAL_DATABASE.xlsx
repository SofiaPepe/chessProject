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pepe\Desktop\progetto_scacchi\data\"/>
    </mc:Choice>
  </mc:AlternateContent>
  <xr:revisionPtr revIDLastSave="0" documentId="13_ncr:1_{39528DD3-7DFF-4B88-81C3-BAB36B4EEE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definedNames>
    <definedName name="_xlnm._FilterDatabase" localSheetId="0" hidden="1">Foglio1!$A$1:$CV$103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LfDfM6iLbUoI/D6f2YoxY8FyMuqMsGQMfcTpWeSR/I="/>
    </ext>
  </extLst>
</workbook>
</file>

<file path=xl/calcChain.xml><?xml version="1.0" encoding="utf-8"?>
<calcChain xmlns="http://schemas.openxmlformats.org/spreadsheetml/2006/main">
  <c r="CZ102" i="1" l="1"/>
  <c r="CY102" i="1"/>
  <c r="CX102" i="1"/>
  <c r="CW102" i="1"/>
  <c r="CZ101" i="1"/>
  <c r="CY101" i="1"/>
  <c r="CX101" i="1"/>
  <c r="CW101" i="1"/>
  <c r="CZ100" i="1"/>
  <c r="CY100" i="1"/>
  <c r="CX100" i="1"/>
  <c r="CW100" i="1"/>
  <c r="CZ99" i="1"/>
  <c r="CY99" i="1"/>
  <c r="CX99" i="1"/>
  <c r="CW99" i="1"/>
  <c r="CZ98" i="1"/>
  <c r="CY98" i="1"/>
  <c r="CX98" i="1"/>
  <c r="CW98" i="1"/>
  <c r="CZ97" i="1"/>
  <c r="CY97" i="1"/>
  <c r="CX97" i="1"/>
  <c r="CW97" i="1"/>
  <c r="CZ96" i="1"/>
  <c r="CY96" i="1"/>
  <c r="CX96" i="1"/>
  <c r="CW96" i="1"/>
  <c r="CZ95" i="1"/>
  <c r="CY95" i="1"/>
  <c r="CX95" i="1"/>
  <c r="CW95" i="1"/>
  <c r="CZ94" i="1"/>
  <c r="CY94" i="1"/>
  <c r="CX94" i="1"/>
  <c r="CW94" i="1"/>
  <c r="CZ93" i="1"/>
  <c r="CY93" i="1"/>
  <c r="CX93" i="1"/>
  <c r="CW93" i="1"/>
  <c r="CZ92" i="1"/>
  <c r="CY92" i="1"/>
  <c r="CX92" i="1"/>
  <c r="CW92" i="1"/>
  <c r="CZ91" i="1"/>
  <c r="CY91" i="1"/>
  <c r="CX91" i="1"/>
  <c r="CW91" i="1"/>
  <c r="CZ90" i="1"/>
  <c r="CY90" i="1"/>
  <c r="CX90" i="1"/>
  <c r="CW90" i="1"/>
  <c r="CZ89" i="1"/>
  <c r="CY89" i="1"/>
  <c r="CX89" i="1"/>
  <c r="CW89" i="1"/>
  <c r="CZ88" i="1"/>
  <c r="CY88" i="1"/>
  <c r="CX88" i="1"/>
  <c r="CW88" i="1"/>
  <c r="CZ87" i="1"/>
  <c r="CY87" i="1"/>
  <c r="CX87" i="1"/>
  <c r="CW87" i="1"/>
  <c r="CZ86" i="1"/>
  <c r="CY86" i="1"/>
  <c r="CX86" i="1"/>
  <c r="CW86" i="1"/>
  <c r="CZ85" i="1"/>
  <c r="CY85" i="1"/>
  <c r="CX85" i="1"/>
  <c r="CW85" i="1"/>
  <c r="CZ84" i="1"/>
  <c r="CY84" i="1"/>
  <c r="CX84" i="1"/>
  <c r="CW84" i="1"/>
  <c r="CZ83" i="1"/>
  <c r="CY83" i="1"/>
  <c r="CX83" i="1"/>
  <c r="CW83" i="1"/>
  <c r="CZ82" i="1"/>
  <c r="CY82" i="1"/>
  <c r="CX82" i="1"/>
  <c r="CW82" i="1"/>
  <c r="CZ81" i="1"/>
  <c r="CY81" i="1"/>
  <c r="CX81" i="1"/>
  <c r="CW81" i="1"/>
  <c r="CZ80" i="1"/>
  <c r="CY80" i="1"/>
  <c r="CX80" i="1"/>
  <c r="CW80" i="1"/>
  <c r="CZ79" i="1"/>
  <c r="CY79" i="1"/>
  <c r="CX79" i="1"/>
  <c r="CW79" i="1"/>
  <c r="CZ78" i="1"/>
  <c r="CY78" i="1"/>
  <c r="CX78" i="1"/>
  <c r="CW78" i="1"/>
  <c r="CZ77" i="1"/>
  <c r="CY77" i="1"/>
  <c r="CX77" i="1"/>
  <c r="CW77" i="1"/>
  <c r="CZ76" i="1"/>
  <c r="CY76" i="1"/>
  <c r="CX76" i="1"/>
  <c r="CW76" i="1"/>
  <c r="CZ75" i="1"/>
  <c r="CY75" i="1"/>
  <c r="CX75" i="1"/>
  <c r="CW75" i="1"/>
  <c r="CZ74" i="1"/>
  <c r="CY74" i="1"/>
  <c r="CX74" i="1"/>
  <c r="CW74" i="1"/>
  <c r="CZ73" i="1"/>
  <c r="CY73" i="1"/>
  <c r="CX73" i="1"/>
  <c r="CW73" i="1"/>
  <c r="CZ72" i="1"/>
  <c r="CY72" i="1"/>
  <c r="CX72" i="1"/>
  <c r="CW72" i="1"/>
  <c r="CZ71" i="1"/>
  <c r="CY71" i="1"/>
  <c r="CX71" i="1"/>
  <c r="CW71" i="1"/>
  <c r="CZ70" i="1"/>
  <c r="CY70" i="1"/>
  <c r="CX70" i="1"/>
  <c r="CW70" i="1"/>
  <c r="CZ69" i="1"/>
  <c r="CY69" i="1"/>
  <c r="CX69" i="1"/>
  <c r="CW69" i="1"/>
  <c r="CZ68" i="1"/>
  <c r="CY68" i="1"/>
  <c r="CX68" i="1"/>
  <c r="CW68" i="1"/>
  <c r="CZ67" i="1"/>
  <c r="CY67" i="1"/>
  <c r="CX67" i="1"/>
  <c r="CW67" i="1"/>
  <c r="CZ66" i="1"/>
  <c r="CY66" i="1"/>
  <c r="CX66" i="1"/>
  <c r="CW66" i="1"/>
  <c r="CZ65" i="1"/>
  <c r="CY65" i="1"/>
  <c r="CX65" i="1"/>
  <c r="CW65" i="1"/>
  <c r="CZ64" i="1"/>
  <c r="CY64" i="1"/>
  <c r="CX64" i="1"/>
  <c r="CW64" i="1"/>
  <c r="CZ63" i="1"/>
  <c r="CY63" i="1"/>
  <c r="CX63" i="1"/>
  <c r="CW63" i="1"/>
  <c r="CZ62" i="1"/>
  <c r="CY62" i="1"/>
  <c r="CX62" i="1"/>
  <c r="CW62" i="1"/>
  <c r="CZ61" i="1"/>
  <c r="CY61" i="1"/>
  <c r="CX61" i="1"/>
  <c r="CW61" i="1"/>
  <c r="CZ60" i="1"/>
  <c r="CY60" i="1"/>
  <c r="CX60" i="1"/>
  <c r="CW60" i="1"/>
  <c r="CZ59" i="1"/>
  <c r="CY59" i="1"/>
  <c r="CX59" i="1"/>
  <c r="CW59" i="1"/>
  <c r="CZ58" i="1"/>
  <c r="CY58" i="1"/>
  <c r="CX58" i="1"/>
  <c r="CW58" i="1"/>
  <c r="CZ57" i="1"/>
  <c r="CY57" i="1"/>
  <c r="CX57" i="1"/>
  <c r="CW57" i="1"/>
  <c r="CZ56" i="1"/>
  <c r="CY56" i="1"/>
  <c r="CX56" i="1"/>
  <c r="CW56" i="1"/>
  <c r="CZ55" i="1"/>
  <c r="CY55" i="1"/>
  <c r="CX55" i="1"/>
  <c r="CW55" i="1"/>
  <c r="CZ54" i="1"/>
  <c r="CY54" i="1"/>
  <c r="CX54" i="1"/>
  <c r="CW54" i="1"/>
  <c r="CZ53" i="1"/>
  <c r="CY53" i="1"/>
  <c r="CX53" i="1"/>
  <c r="CW53" i="1"/>
  <c r="CZ52" i="1"/>
  <c r="CY52" i="1"/>
  <c r="CX52" i="1"/>
  <c r="CW52" i="1"/>
  <c r="CZ51" i="1"/>
  <c r="CY51" i="1"/>
  <c r="CX51" i="1"/>
  <c r="CW51" i="1"/>
  <c r="CZ50" i="1"/>
  <c r="CY50" i="1"/>
  <c r="CX50" i="1"/>
  <c r="CW50" i="1"/>
  <c r="CZ49" i="1"/>
  <c r="CY49" i="1"/>
  <c r="CX49" i="1"/>
  <c r="CW49" i="1"/>
  <c r="CZ48" i="1"/>
  <c r="CY48" i="1"/>
  <c r="CX48" i="1"/>
  <c r="CW48" i="1"/>
  <c r="CZ47" i="1"/>
  <c r="CY47" i="1"/>
  <c r="CX47" i="1"/>
  <c r="CW47" i="1"/>
  <c r="CZ46" i="1"/>
  <c r="CY46" i="1"/>
  <c r="CX46" i="1"/>
  <c r="CW46" i="1"/>
  <c r="CZ45" i="1"/>
  <c r="CY45" i="1"/>
  <c r="CX45" i="1"/>
  <c r="CW45" i="1"/>
  <c r="CZ44" i="1"/>
  <c r="CY44" i="1"/>
  <c r="CX44" i="1"/>
  <c r="CW44" i="1"/>
  <c r="CZ43" i="1"/>
  <c r="CY43" i="1"/>
  <c r="CX43" i="1"/>
  <c r="CW43" i="1"/>
  <c r="CZ42" i="1"/>
  <c r="CY42" i="1"/>
  <c r="CX42" i="1"/>
  <c r="CW42" i="1"/>
  <c r="CZ41" i="1"/>
  <c r="CY41" i="1"/>
  <c r="CX41" i="1"/>
  <c r="CW41" i="1"/>
  <c r="CZ40" i="1"/>
  <c r="CY40" i="1"/>
  <c r="CX40" i="1"/>
  <c r="CW40" i="1"/>
  <c r="CZ39" i="1"/>
  <c r="CY39" i="1"/>
  <c r="CX39" i="1"/>
  <c r="CW39" i="1"/>
  <c r="CZ38" i="1"/>
  <c r="CY38" i="1"/>
  <c r="CX38" i="1"/>
  <c r="CW38" i="1"/>
  <c r="CZ37" i="1"/>
  <c r="CY37" i="1"/>
  <c r="CX37" i="1"/>
  <c r="CW37" i="1"/>
  <c r="CZ36" i="1"/>
  <c r="CY36" i="1"/>
  <c r="CX36" i="1"/>
  <c r="CW36" i="1"/>
  <c r="CZ35" i="1"/>
  <c r="CY35" i="1"/>
  <c r="CX35" i="1"/>
  <c r="CW35" i="1"/>
  <c r="CZ34" i="1"/>
  <c r="CY34" i="1"/>
  <c r="CX34" i="1"/>
  <c r="CW34" i="1"/>
  <c r="CZ33" i="1"/>
  <c r="CY33" i="1"/>
  <c r="CX33" i="1"/>
  <c r="CW33" i="1"/>
  <c r="CZ32" i="1"/>
  <c r="CY32" i="1"/>
  <c r="CX32" i="1"/>
  <c r="CW32" i="1"/>
  <c r="CZ31" i="1"/>
  <c r="CY31" i="1"/>
  <c r="CX31" i="1"/>
  <c r="CW31" i="1"/>
  <c r="CZ30" i="1"/>
  <c r="CY30" i="1"/>
  <c r="CX30" i="1"/>
  <c r="CW30" i="1"/>
  <c r="CZ29" i="1"/>
  <c r="CY29" i="1"/>
  <c r="CX29" i="1"/>
  <c r="CW29" i="1"/>
  <c r="CZ28" i="1"/>
  <c r="CY28" i="1"/>
  <c r="CX28" i="1"/>
  <c r="CW28" i="1"/>
  <c r="CZ27" i="1"/>
  <c r="CY27" i="1"/>
  <c r="CX27" i="1"/>
  <c r="CW27" i="1"/>
  <c r="CZ26" i="1"/>
  <c r="CY26" i="1"/>
  <c r="CX26" i="1"/>
  <c r="CW26" i="1"/>
  <c r="CZ25" i="1"/>
  <c r="CY25" i="1"/>
  <c r="CX25" i="1"/>
  <c r="CW25" i="1"/>
  <c r="CZ24" i="1"/>
  <c r="CY24" i="1"/>
  <c r="CX24" i="1"/>
  <c r="CW24" i="1"/>
  <c r="CZ23" i="1"/>
  <c r="CY23" i="1"/>
  <c r="CX23" i="1"/>
  <c r="CW23" i="1"/>
  <c r="CZ22" i="1"/>
  <c r="CY22" i="1"/>
  <c r="CX22" i="1"/>
  <c r="CW22" i="1"/>
  <c r="CZ21" i="1"/>
  <c r="CY21" i="1"/>
  <c r="CX21" i="1"/>
  <c r="CW21" i="1"/>
  <c r="CZ20" i="1"/>
  <c r="CY20" i="1"/>
  <c r="CX20" i="1"/>
  <c r="CW20" i="1"/>
  <c r="CZ19" i="1"/>
  <c r="CY19" i="1"/>
  <c r="CX19" i="1"/>
  <c r="CW19" i="1"/>
  <c r="CZ18" i="1"/>
  <c r="CY18" i="1"/>
  <c r="CX18" i="1"/>
  <c r="CW18" i="1"/>
  <c r="CZ17" i="1"/>
  <c r="CY17" i="1"/>
  <c r="CX17" i="1"/>
  <c r="CW17" i="1"/>
  <c r="CZ16" i="1"/>
  <c r="CY16" i="1"/>
  <c r="CX16" i="1"/>
  <c r="CW16" i="1"/>
  <c r="CZ15" i="1"/>
  <c r="CY15" i="1"/>
  <c r="CX15" i="1"/>
  <c r="CW15" i="1"/>
  <c r="BV15" i="1"/>
  <c r="BQ15" i="1"/>
  <c r="BK15" i="1"/>
  <c r="BH15" i="1"/>
  <c r="O15" i="1"/>
  <c r="CZ14" i="1"/>
  <c r="CY14" i="1"/>
  <c r="CX14" i="1"/>
  <c r="CW14" i="1"/>
  <c r="BQ14" i="1"/>
  <c r="BK14" i="1"/>
  <c r="BH14" i="1"/>
  <c r="O14" i="1"/>
  <c r="CZ13" i="1"/>
  <c r="CY13" i="1"/>
  <c r="CX13" i="1"/>
  <c r="CW13" i="1"/>
  <c r="BV13" i="1"/>
  <c r="BQ13" i="1"/>
  <c r="BK13" i="1"/>
  <c r="BH13" i="1"/>
  <c r="O13" i="1"/>
  <c r="CZ12" i="1"/>
  <c r="CY12" i="1"/>
  <c r="CX12" i="1"/>
  <c r="CW12" i="1"/>
  <c r="BV12" i="1"/>
  <c r="BQ12" i="1"/>
  <c r="BK12" i="1"/>
  <c r="BH12" i="1"/>
  <c r="O12" i="1"/>
  <c r="CZ11" i="1"/>
  <c r="CY11" i="1"/>
  <c r="CX11" i="1"/>
  <c r="CW11" i="1"/>
  <c r="BV11" i="1"/>
  <c r="BQ11" i="1"/>
  <c r="BK11" i="1"/>
  <c r="BH11" i="1"/>
  <c r="O11" i="1"/>
  <c r="CZ10" i="1"/>
  <c r="CY10" i="1"/>
  <c r="CX10" i="1"/>
  <c r="CW10" i="1"/>
  <c r="BV10" i="1"/>
  <c r="BQ10" i="1"/>
  <c r="BK10" i="1"/>
  <c r="BH10" i="1"/>
  <c r="O10" i="1"/>
  <c r="CZ9" i="1"/>
  <c r="CY9" i="1"/>
  <c r="CX9" i="1"/>
  <c r="CW9" i="1"/>
  <c r="BV9" i="1"/>
  <c r="BQ9" i="1"/>
  <c r="BK9" i="1"/>
  <c r="BH9" i="1"/>
  <c r="O9" i="1"/>
  <c r="CZ8" i="1"/>
  <c r="CY8" i="1"/>
  <c r="CX8" i="1"/>
  <c r="CW8" i="1"/>
  <c r="BV8" i="1"/>
  <c r="BQ8" i="1"/>
  <c r="BK8" i="1"/>
  <c r="BH8" i="1"/>
  <c r="O8" i="1"/>
  <c r="CZ7" i="1"/>
  <c r="CY7" i="1"/>
  <c r="CX7" i="1"/>
  <c r="CW7" i="1"/>
  <c r="BV7" i="1"/>
  <c r="BQ7" i="1"/>
  <c r="BK7" i="1"/>
  <c r="BH7" i="1"/>
  <c r="O7" i="1"/>
  <c r="CZ6" i="1"/>
  <c r="CY6" i="1"/>
  <c r="CX6" i="1"/>
  <c r="CW6" i="1"/>
  <c r="BV6" i="1"/>
  <c r="BQ6" i="1"/>
  <c r="BK6" i="1"/>
  <c r="BH6" i="1"/>
  <c r="O6" i="1"/>
  <c r="CZ5" i="1"/>
  <c r="CY5" i="1"/>
  <c r="CX5" i="1"/>
  <c r="CW5" i="1"/>
  <c r="BV5" i="1"/>
  <c r="BQ5" i="1"/>
  <c r="BK5" i="1"/>
  <c r="BH5" i="1"/>
  <c r="O5" i="1"/>
  <c r="CZ4" i="1"/>
  <c r="CY4" i="1"/>
  <c r="CX4" i="1"/>
  <c r="CW4" i="1"/>
  <c r="BV4" i="1"/>
  <c r="BQ4" i="1"/>
  <c r="BK4" i="1"/>
  <c r="BH4" i="1"/>
  <c r="O4" i="1"/>
  <c r="CZ3" i="1"/>
  <c r="CY3" i="1"/>
  <c r="CX3" i="1"/>
  <c r="CW3" i="1"/>
  <c r="BV3" i="1"/>
  <c r="BQ3" i="1"/>
  <c r="BK3" i="1"/>
  <c r="BH3" i="1"/>
  <c r="O3" i="1"/>
  <c r="CZ2" i="1"/>
  <c r="CY2" i="1"/>
  <c r="CX2" i="1"/>
  <c r="CW2" i="1"/>
  <c r="BV2" i="1"/>
  <c r="BQ2" i="1"/>
  <c r="BK2" i="1"/>
  <c r="BH2" i="1"/>
  <c r="O2" i="1"/>
</calcChain>
</file>

<file path=xl/sharedStrings.xml><?xml version="1.0" encoding="utf-8"?>
<sst xmlns="http://schemas.openxmlformats.org/spreadsheetml/2006/main" count="522" uniqueCount="228">
  <si>
    <t>ID</t>
  </si>
  <si>
    <t>group</t>
  </si>
  <si>
    <t>sex</t>
  </si>
  <si>
    <t>age</t>
  </si>
  <si>
    <t>class</t>
  </si>
  <si>
    <t>section</t>
  </si>
  <si>
    <t>hand</t>
  </si>
  <si>
    <t>semestre</t>
  </si>
  <si>
    <t xml:space="preserve">eta_2 (gruppo 1 5 e 6 anni del primo semestre, gruppo 2 6 anni e 7 anni primo semestre e gruppo 3 7 anni secondo semestre </t>
  </si>
  <si>
    <t>NOTE</t>
  </si>
  <si>
    <t>CBT_F_SPAN_PRE</t>
  </si>
  <si>
    <t>CBT_B_SPAN_PRE</t>
  </si>
  <si>
    <t>TOL_TP_PRE</t>
  </si>
  <si>
    <t>TOL_TE_PRE</t>
  </si>
  <si>
    <t>TOL_TR_PRE</t>
  </si>
  <si>
    <t>TOL_ACC_PRE</t>
  </si>
  <si>
    <t>TOL_VIO_REG_PRE</t>
  </si>
  <si>
    <t>Raven_ACC_PRE</t>
  </si>
  <si>
    <t>RAVEN_T_PRE</t>
  </si>
  <si>
    <t>WM_SPAN_PRE</t>
  </si>
  <si>
    <t>WM_TRIAL_PRE</t>
  </si>
  <si>
    <t>WM_ACC_PRE</t>
  </si>
  <si>
    <t>PLANNING_TP_PRE</t>
  </si>
  <si>
    <t>PLANNING_TE_PRE</t>
  </si>
  <si>
    <t>PLANNING_TR_PRE</t>
  </si>
  <si>
    <t>PLANNING_SPAN_PRE</t>
  </si>
  <si>
    <t>PLANNING_TRIAL_PRE</t>
  </si>
  <si>
    <t>PLANNING_ACC_PRE</t>
  </si>
  <si>
    <t>PLANNING_OST_PRE</t>
  </si>
  <si>
    <t>PLANNING_MATT_PRE</t>
  </si>
  <si>
    <t>PLANNING_MATTI_MIN_PRE</t>
  </si>
  <si>
    <t>PLANNING_PERC_PRE</t>
  </si>
  <si>
    <t>PWM_TP_PRE</t>
  </si>
  <si>
    <t>PWM_TE_PRE</t>
  </si>
  <si>
    <t>PWM_TR_PRE</t>
  </si>
  <si>
    <t>PWM_TRIAL_PRE</t>
  </si>
  <si>
    <t>PWM_ACC_PRE</t>
  </si>
  <si>
    <t>PWM_OST_PRE</t>
  </si>
  <si>
    <t>PWM_MATT_PRE</t>
  </si>
  <si>
    <t>PWM_ MATT_MIN_PRE</t>
  </si>
  <si>
    <t>PWM_PERC_PRE</t>
  </si>
  <si>
    <t>ABAS_comm_use</t>
  </si>
  <si>
    <t>ABAS_comm_use_supp</t>
  </si>
  <si>
    <t>ABAS_fun_acc</t>
  </si>
  <si>
    <t>ABAS_fun_acc_suppongo</t>
  </si>
  <si>
    <t>ABAS_school_liv</t>
  </si>
  <si>
    <t>ABAS_school_liv_suppongo</t>
  </si>
  <si>
    <t>ABAS_Health_saf_sic</t>
  </si>
  <si>
    <t>ABAS_Health_saf_suppongo</t>
  </si>
  <si>
    <t>ABAS_Leisure</t>
  </si>
  <si>
    <t>ABAS_Leisure_suppongo</t>
  </si>
  <si>
    <t>ABAS_Selfcare</t>
  </si>
  <si>
    <t>ABAS_Selfcare_suppongo</t>
  </si>
  <si>
    <t>ABAS_Selfdirection</t>
  </si>
  <si>
    <t>ABAS_Selfdirection_suppongo</t>
  </si>
  <si>
    <t>ABAS_soc</t>
  </si>
  <si>
    <t>ABAS_soc_suppongo</t>
  </si>
  <si>
    <t>BRIEF_Inhibit</t>
  </si>
  <si>
    <t>BRIEF_SelfMonitor</t>
  </si>
  <si>
    <t>BRIEF_BRI</t>
  </si>
  <si>
    <t>BRIEF_shift</t>
  </si>
  <si>
    <t>BRIEF_Em_Con</t>
  </si>
  <si>
    <t>BRIEF_ERI</t>
  </si>
  <si>
    <t>BRIEF_Initiate</t>
  </si>
  <si>
    <t>BRIEF_wm</t>
  </si>
  <si>
    <t>BRIEF_plann</t>
  </si>
  <si>
    <t>BRIEF_TaskMonitor</t>
  </si>
  <si>
    <t>BRIEF_OrganizMaterial</t>
  </si>
  <si>
    <t>BRIEF_CRI</t>
  </si>
  <si>
    <t>CBT_F_SPAN_POST</t>
  </si>
  <si>
    <t>CBT_B_SPAN_POST</t>
  </si>
  <si>
    <t>TOL_TP_POST</t>
  </si>
  <si>
    <t>TOL_TE_POST</t>
  </si>
  <si>
    <t>TOL_TR_POST</t>
  </si>
  <si>
    <t>TOL_ACC_POST</t>
  </si>
  <si>
    <t>TOL_VIO_REG_POST</t>
  </si>
  <si>
    <t>Raven_ACC_POST</t>
  </si>
  <si>
    <t>RAVEN_T_POST</t>
  </si>
  <si>
    <t>WM_SPAN_POST</t>
  </si>
  <si>
    <t>WM_TRIAL_POST</t>
  </si>
  <si>
    <t>WM_ACC_POST</t>
  </si>
  <si>
    <t>PLANNING_TP_POST</t>
  </si>
  <si>
    <t>PLANNING_TE_POST</t>
  </si>
  <si>
    <t>PLANNING_TOT_POST</t>
  </si>
  <si>
    <t>PLANNING_span_POST</t>
  </si>
  <si>
    <t>PLANNING_trial_POST</t>
  </si>
  <si>
    <t>PLANNING_ACC_POST</t>
  </si>
  <si>
    <t>PLANNING_OST_POST</t>
  </si>
  <si>
    <t>PLANNING_MATT_POST</t>
  </si>
  <si>
    <t>PLANNING_MATTI_MIN_POST</t>
  </si>
  <si>
    <t>PLANNING_PERC_POST</t>
  </si>
  <si>
    <t>PWM_TP_POST</t>
  </si>
  <si>
    <t>PWM_TE_POST</t>
  </si>
  <si>
    <t>PWM_T_POST</t>
  </si>
  <si>
    <t>PWM_TRIAL_POST</t>
  </si>
  <si>
    <t>PWM_ACC_POST</t>
  </si>
  <si>
    <t>PWM_OST_POST</t>
  </si>
  <si>
    <t>PWM_MATT_POST</t>
  </si>
  <si>
    <t>PWM_MATT_MIN_POST</t>
  </si>
  <si>
    <t>PWM_PERC_POST</t>
  </si>
  <si>
    <t>PLANNING_EFF_PRE</t>
  </si>
  <si>
    <t>PLANNING_EFF_POST</t>
  </si>
  <si>
    <t>PWM_EFF_PRE</t>
  </si>
  <si>
    <t>PWM_EFF_POST</t>
  </si>
  <si>
    <t>EXP01</t>
  </si>
  <si>
    <t>F</t>
  </si>
  <si>
    <t>exp</t>
  </si>
  <si>
    <t>D</t>
  </si>
  <si>
    <t>EXP02</t>
  </si>
  <si>
    <t>M</t>
  </si>
  <si>
    <t>EXP04</t>
  </si>
  <si>
    <t>EXP06</t>
  </si>
  <si>
    <t>EXP07</t>
  </si>
  <si>
    <t>EXP08</t>
  </si>
  <si>
    <t>EXP09</t>
  </si>
  <si>
    <t>EXP10</t>
  </si>
  <si>
    <t>EXP11</t>
  </si>
  <si>
    <t>EXP12</t>
  </si>
  <si>
    <t>EXP13</t>
  </si>
  <si>
    <t>EXP14</t>
  </si>
  <si>
    <t>EXP15</t>
  </si>
  <si>
    <t>EXP16</t>
  </si>
  <si>
    <t>GC03</t>
  </si>
  <si>
    <t>gc</t>
  </si>
  <si>
    <t>GC04</t>
  </si>
  <si>
    <t>GC05</t>
  </si>
  <si>
    <t>GC06</t>
  </si>
  <si>
    <t>GC07</t>
  </si>
  <si>
    <t>GC08</t>
  </si>
  <si>
    <t>GC09</t>
  </si>
  <si>
    <t>GC10</t>
  </si>
  <si>
    <t>94,03</t>
  </si>
  <si>
    <t>GC11</t>
  </si>
  <si>
    <t>SPR1</t>
  </si>
  <si>
    <t>spb</t>
  </si>
  <si>
    <t>SPR2</t>
  </si>
  <si>
    <t>SPR3</t>
  </si>
  <si>
    <t>SPR4</t>
  </si>
  <si>
    <t>SPR5</t>
  </si>
  <si>
    <t>SPR6</t>
  </si>
  <si>
    <t>SPR7</t>
  </si>
  <si>
    <t>SPR8</t>
  </si>
  <si>
    <t>SPR11</t>
  </si>
  <si>
    <t>S</t>
  </si>
  <si>
    <t>SPR12</t>
  </si>
  <si>
    <t>SPR13</t>
  </si>
  <si>
    <t>SPR14</t>
  </si>
  <si>
    <t>SPR15</t>
  </si>
  <si>
    <t>SPR16</t>
  </si>
  <si>
    <t>SPR17</t>
  </si>
  <si>
    <t>SPR18</t>
  </si>
  <si>
    <t>spa</t>
  </si>
  <si>
    <t>SPR19</t>
  </si>
  <si>
    <t>SPR20</t>
  </si>
  <si>
    <t>SPR21</t>
  </si>
  <si>
    <t>SPR22</t>
  </si>
  <si>
    <t>SPR23</t>
  </si>
  <si>
    <t>SPR25</t>
  </si>
  <si>
    <t>PPR01</t>
  </si>
  <si>
    <t>prb</t>
  </si>
  <si>
    <t>PPR02</t>
  </si>
  <si>
    <t>PPR03</t>
  </si>
  <si>
    <t>PPR04</t>
  </si>
  <si>
    <t>PPR05</t>
  </si>
  <si>
    <t>PPR06</t>
  </si>
  <si>
    <t>PPR07</t>
  </si>
  <si>
    <t>PPR08</t>
  </si>
  <si>
    <t>PPR09</t>
  </si>
  <si>
    <t>PPR10</t>
  </si>
  <si>
    <t>PPR11</t>
  </si>
  <si>
    <t>PPR12</t>
  </si>
  <si>
    <t>PPR13</t>
  </si>
  <si>
    <t>PPR14</t>
  </si>
  <si>
    <t>PPR15</t>
  </si>
  <si>
    <t>PPR16</t>
  </si>
  <si>
    <t>PPR17</t>
  </si>
  <si>
    <t>PPR20</t>
  </si>
  <si>
    <t>pra</t>
  </si>
  <si>
    <t>PPR21</t>
  </si>
  <si>
    <t>PPR22</t>
  </si>
  <si>
    <t>PPR23</t>
  </si>
  <si>
    <t>PPR24</t>
  </si>
  <si>
    <t>PPR25</t>
  </si>
  <si>
    <t>PPR26</t>
  </si>
  <si>
    <t>PPR27</t>
  </si>
  <si>
    <t>PPR28</t>
  </si>
  <si>
    <t>PPR29</t>
  </si>
  <si>
    <t>AC04</t>
  </si>
  <si>
    <t>ac</t>
  </si>
  <si>
    <t>QUESTIOANARI MANCANTI</t>
  </si>
  <si>
    <t>AC05</t>
  </si>
  <si>
    <t>AC06</t>
  </si>
  <si>
    <t>Sul MINEFIELD ha fatto 2 PLANNING perchè quasi alla fine della prima volta il pc si è bloccato</t>
  </si>
  <si>
    <t>AC08</t>
  </si>
  <si>
    <t>AC09</t>
  </si>
  <si>
    <t>AC10</t>
  </si>
  <si>
    <t>AC11</t>
  </si>
  <si>
    <t>bianco</t>
  </si>
  <si>
    <t>AC12</t>
  </si>
  <si>
    <t>AC13</t>
  </si>
  <si>
    <t>IN BIANCO</t>
  </si>
  <si>
    <t>AC14</t>
  </si>
  <si>
    <t>AC15</t>
  </si>
  <si>
    <t>AC16</t>
  </si>
  <si>
    <t>AC18</t>
  </si>
  <si>
    <t>Ha un occhio bendato con un cerotto</t>
  </si>
  <si>
    <t>AC19</t>
  </si>
  <si>
    <t>AC20</t>
  </si>
  <si>
    <t>85,92</t>
  </si>
  <si>
    <t>94,74</t>
  </si>
  <si>
    <t>AC21</t>
  </si>
  <si>
    <t>93,33</t>
  </si>
  <si>
    <t>AC22</t>
  </si>
  <si>
    <t>AC23</t>
  </si>
  <si>
    <t>L. 104</t>
  </si>
  <si>
    <t>AC24</t>
  </si>
  <si>
    <t>Durante il PLANNING del Minefield (post), il pc si blocca, lo faccio rifare</t>
  </si>
  <si>
    <t>AC25</t>
  </si>
  <si>
    <t>AC26</t>
  </si>
  <si>
    <t>AC27</t>
  </si>
  <si>
    <t>AC28</t>
  </si>
  <si>
    <t>AC29</t>
  </si>
  <si>
    <t>AC30</t>
  </si>
  <si>
    <t>AC31</t>
  </si>
  <si>
    <t>AC32</t>
  </si>
  <si>
    <t>AC33</t>
  </si>
  <si>
    <t>Sul MINEFIELD: mentre stava facendo PLANNING WORKING MEMORY ha chiuso l'applicazione, quindi l'ho fatta riniziare.</t>
  </si>
  <si>
    <t>AC34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</si>
</sst>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F99FF"/>
        <bgColor rgb="FFFF99FF"/>
      </patternFill>
    </fill>
    <fill>
      <patternFill patternType="solid">
        <fgColor rgb="FFFBE4D5"/>
        <bgColor rgb="FFFBE4D5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3CAEB"/>
        <bgColor rgb="FF83CAEB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/>
    <xf numFmtId="0" fontId="1" fillId="10" borderId="1" xfId="0" applyFont="1" applyFill="1" applyBorder="1"/>
    <xf numFmtId="0" fontId="3" fillId="10" borderId="1" xfId="0" applyFont="1" applyFill="1" applyBorder="1"/>
    <xf numFmtId="0" fontId="2" fillId="11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10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6" fillId="2" borderId="1" xfId="0" applyFont="1" applyFill="1" applyBorder="1" applyAlignment="1">
      <alignment horizontal="righ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right"/>
    </xf>
    <xf numFmtId="0" fontId="4" fillId="12" borderId="0" xfId="0" applyFont="1" applyFill="1"/>
    <xf numFmtId="0" fontId="5" fillId="12" borderId="1" xfId="0" applyFont="1" applyFill="1" applyBorder="1"/>
    <xf numFmtId="0" fontId="5" fillId="12" borderId="1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>
      <alignment horizontal="right"/>
    </xf>
    <xf numFmtId="0" fontId="4" fillId="13" borderId="1" xfId="0" applyFont="1" applyFill="1" applyBorder="1" applyAlignment="1">
      <alignment horizontal="right"/>
    </xf>
    <xf numFmtId="0" fontId="5" fillId="13" borderId="1" xfId="0" applyFont="1" applyFill="1" applyBorder="1" applyAlignment="1">
      <alignment horizontal="right"/>
    </xf>
    <xf numFmtId="0" fontId="6" fillId="13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6" fillId="10" borderId="1" xfId="0" applyFont="1" applyFill="1" applyBorder="1" applyAlignment="1">
      <alignment horizontal="right"/>
    </xf>
    <xf numFmtId="0" fontId="8" fillId="0" borderId="3" xfId="0" applyFont="1" applyBorder="1" applyAlignment="1">
      <alignment horizontal="right" wrapText="1"/>
    </xf>
    <xf numFmtId="0" fontId="9" fillId="0" borderId="0" xfId="0" applyFont="1" applyAlignment="1">
      <alignment horizontal="right"/>
    </xf>
    <xf numFmtId="0" fontId="6" fillId="0" borderId="0" xfId="0" applyFont="1"/>
    <xf numFmtId="0" fontId="9" fillId="10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5" fillId="2" borderId="0" xfId="0" applyFont="1" applyFill="1"/>
    <xf numFmtId="0" fontId="4" fillId="15" borderId="1" xfId="0" applyFont="1" applyFill="1" applyBorder="1"/>
    <xf numFmtId="0" fontId="4" fillId="14" borderId="1" xfId="0" applyFont="1" applyFill="1" applyBorder="1"/>
    <xf numFmtId="0" fontId="8" fillId="10" borderId="3" xfId="0" applyFont="1" applyFill="1" applyBorder="1" applyAlignment="1">
      <alignment horizontal="right" wrapText="1"/>
    </xf>
    <xf numFmtId="0" fontId="9" fillId="2" borderId="0" xfId="0" applyFont="1" applyFill="1" applyAlignment="1">
      <alignment horizontal="right"/>
    </xf>
    <xf numFmtId="0" fontId="4" fillId="10" borderId="0" xfId="0" applyFont="1" applyFill="1"/>
    <xf numFmtId="0" fontId="4" fillId="10" borderId="0" xfId="0" applyFont="1" applyFill="1" applyAlignment="1">
      <alignment horizontal="right"/>
    </xf>
    <xf numFmtId="0" fontId="6" fillId="16" borderId="0" xfId="0" applyFont="1" applyFill="1" applyAlignment="1">
      <alignment horizontal="right"/>
    </xf>
    <xf numFmtId="0" fontId="4" fillId="1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Z302"/>
  <sheetViews>
    <sheetView tabSelected="1" zoomScale="115" zoomScaleNormal="115" workbookViewId="0">
      <pane xSplit="1" topLeftCell="BJ1" activePane="topRight" state="frozen"/>
      <selection pane="topRight" activeCell="BY12" sqref="BY12"/>
    </sheetView>
  </sheetViews>
  <sheetFormatPr defaultColWidth="12.6328125" defaultRowHeight="15" customHeight="1" x14ac:dyDescent="0.25"/>
  <cols>
    <col min="1" max="7" width="11.08984375" customWidth="1"/>
    <col min="8" max="8" width="18.36328125" customWidth="1"/>
    <col min="9" max="9" width="47.26953125" customWidth="1"/>
    <col min="10" max="10" width="85.90625" customWidth="1"/>
    <col min="11" max="12" width="11.08984375" customWidth="1"/>
    <col min="13" max="13" width="13.7265625" customWidth="1"/>
    <col min="14" max="14" width="15.6328125" customWidth="1"/>
    <col min="15" max="29" width="11.08984375" customWidth="1"/>
    <col min="30" max="30" width="27.7265625" customWidth="1"/>
    <col min="31" max="31" width="27.6328125" customWidth="1"/>
    <col min="32" max="32" width="35.08984375" customWidth="1"/>
    <col min="33" max="38" width="11.08984375" customWidth="1"/>
    <col min="39" max="39" width="29.26953125" customWidth="1"/>
    <col min="40" max="88" width="11.08984375" customWidth="1"/>
    <col min="89" max="89" width="23.453125" customWidth="1"/>
    <col min="90" max="90" width="28.08984375" customWidth="1"/>
    <col min="91" max="97" width="11.08984375" customWidth="1"/>
    <col min="98" max="98" width="31.08984375" customWidth="1"/>
    <col min="99" max="104" width="11.08984375" customWidth="1"/>
  </cols>
  <sheetData>
    <row r="1" spans="1:10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0" t="s">
        <v>41</v>
      </c>
      <c r="AQ1" s="10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2" t="s">
        <v>59</v>
      </c>
      <c r="BI1" s="13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4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6" t="s">
        <v>76</v>
      </c>
      <c r="BZ1" s="6" t="s">
        <v>77</v>
      </c>
      <c r="CA1" s="7" t="s">
        <v>78</v>
      </c>
      <c r="CB1" s="7" t="s">
        <v>79</v>
      </c>
      <c r="CC1" s="7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</row>
    <row r="2" spans="1:104" ht="15.75" customHeight="1" x14ac:dyDescent="0.35">
      <c r="A2" s="15" t="s">
        <v>104</v>
      </c>
      <c r="B2" s="16">
        <v>1</v>
      </c>
      <c r="C2" s="15" t="s">
        <v>105</v>
      </c>
      <c r="D2" s="16">
        <v>7</v>
      </c>
      <c r="E2" s="16">
        <v>1</v>
      </c>
      <c r="F2" s="15" t="s">
        <v>106</v>
      </c>
      <c r="G2" s="15" t="s">
        <v>107</v>
      </c>
      <c r="H2" s="15">
        <v>2</v>
      </c>
      <c r="I2" s="15">
        <v>3</v>
      </c>
      <c r="J2" s="17"/>
      <c r="K2" s="16">
        <v>4</v>
      </c>
      <c r="L2" s="16">
        <v>3</v>
      </c>
      <c r="M2" s="16">
        <v>73</v>
      </c>
      <c r="N2" s="16">
        <v>170</v>
      </c>
      <c r="O2" s="18">
        <f t="shared" ref="O2:O15" si="0">SUM(M2,N2)</f>
        <v>243</v>
      </c>
      <c r="P2" s="16">
        <v>22</v>
      </c>
      <c r="Q2" s="16">
        <v>0</v>
      </c>
      <c r="R2" s="16">
        <v>29</v>
      </c>
      <c r="S2" s="16">
        <v>440</v>
      </c>
      <c r="T2" s="19">
        <v>2</v>
      </c>
      <c r="U2" s="19">
        <v>3</v>
      </c>
      <c r="V2" s="19">
        <v>2</v>
      </c>
      <c r="W2" s="19">
        <v>65</v>
      </c>
      <c r="X2" s="19">
        <v>187</v>
      </c>
      <c r="Y2" s="19">
        <v>252</v>
      </c>
      <c r="Z2" s="19">
        <v>8</v>
      </c>
      <c r="AA2" s="19">
        <v>8</v>
      </c>
      <c r="AB2" s="19">
        <v>16</v>
      </c>
      <c r="AC2" s="19">
        <v>0</v>
      </c>
      <c r="AD2" s="19">
        <v>69</v>
      </c>
      <c r="AE2" s="19">
        <v>61</v>
      </c>
      <c r="AF2" s="19">
        <v>88.41</v>
      </c>
      <c r="AG2" s="19">
        <v>13</v>
      </c>
      <c r="AH2" s="19">
        <v>89</v>
      </c>
      <c r="AI2" s="19">
        <v>102</v>
      </c>
      <c r="AJ2" s="19">
        <v>7</v>
      </c>
      <c r="AK2" s="19">
        <v>7</v>
      </c>
      <c r="AL2" s="19">
        <v>3</v>
      </c>
      <c r="AM2" s="19">
        <v>36</v>
      </c>
      <c r="AN2" s="19">
        <v>36</v>
      </c>
      <c r="AO2" s="19">
        <v>100</v>
      </c>
      <c r="AP2" s="15">
        <v>20</v>
      </c>
      <c r="AQ2" s="15">
        <v>4</v>
      </c>
      <c r="AR2" s="15">
        <v>28</v>
      </c>
      <c r="AS2" s="15">
        <v>3</v>
      </c>
      <c r="AT2" s="15">
        <v>48</v>
      </c>
      <c r="AU2" s="15">
        <v>2</v>
      </c>
      <c r="AV2" s="15"/>
      <c r="AW2" s="15">
        <v>2</v>
      </c>
      <c r="AX2" s="15">
        <v>46</v>
      </c>
      <c r="AY2" s="15">
        <v>1</v>
      </c>
      <c r="AZ2" s="16">
        <v>55</v>
      </c>
      <c r="BA2" s="16"/>
      <c r="BB2" s="15">
        <v>59</v>
      </c>
      <c r="BC2" s="15">
        <v>1</v>
      </c>
      <c r="BD2" s="16">
        <v>56</v>
      </c>
      <c r="BE2" s="16"/>
      <c r="BF2" s="16">
        <v>8</v>
      </c>
      <c r="BG2" s="16">
        <v>5</v>
      </c>
      <c r="BH2" s="16">
        <f t="shared" ref="BH2:BH15" si="1">(SUM(BF2,BG2))</f>
        <v>13</v>
      </c>
      <c r="BI2" s="16">
        <v>8</v>
      </c>
      <c r="BJ2" s="16">
        <v>8</v>
      </c>
      <c r="BK2" s="16">
        <f t="shared" ref="BK2:BK15" si="2">SUM(BI2,BJ2)</f>
        <v>16</v>
      </c>
      <c r="BL2" s="16">
        <v>4</v>
      </c>
      <c r="BM2" s="16">
        <v>8</v>
      </c>
      <c r="BN2" s="16">
        <v>8</v>
      </c>
      <c r="BO2" s="16">
        <v>6</v>
      </c>
      <c r="BP2" s="16">
        <v>5</v>
      </c>
      <c r="BQ2" s="16">
        <f t="shared" ref="BQ2:BQ15" si="3">(SUM(BL2,BM2,BN2,BO2,BP2))</f>
        <v>31</v>
      </c>
      <c r="BR2" s="16">
        <v>3</v>
      </c>
      <c r="BS2" s="16">
        <v>3</v>
      </c>
      <c r="BT2" s="16">
        <v>32</v>
      </c>
      <c r="BU2" s="16">
        <v>111</v>
      </c>
      <c r="BV2" s="18">
        <f t="shared" ref="BV2:BV13" si="4">SUM(BT2,BU2)</f>
        <v>143</v>
      </c>
      <c r="BW2" s="16">
        <v>25</v>
      </c>
      <c r="BX2" s="16">
        <v>0</v>
      </c>
      <c r="BY2" s="16">
        <v>22</v>
      </c>
      <c r="BZ2" s="16">
        <v>510</v>
      </c>
      <c r="CA2" s="19">
        <v>3</v>
      </c>
      <c r="CB2" s="19">
        <v>5</v>
      </c>
      <c r="CC2" s="19">
        <v>3</v>
      </c>
      <c r="CD2" s="19">
        <v>122</v>
      </c>
      <c r="CE2" s="19">
        <v>170</v>
      </c>
      <c r="CF2" s="19">
        <v>292</v>
      </c>
      <c r="CG2" s="19">
        <v>8</v>
      </c>
      <c r="CH2" s="19">
        <v>8</v>
      </c>
      <c r="CI2" s="19">
        <v>16</v>
      </c>
      <c r="CJ2" s="19">
        <v>0</v>
      </c>
      <c r="CK2" s="19">
        <v>75</v>
      </c>
      <c r="CL2" s="19">
        <v>61</v>
      </c>
      <c r="CM2" s="19">
        <v>81.33</v>
      </c>
      <c r="CN2" s="20">
        <v>36083</v>
      </c>
      <c r="CO2" s="20">
        <v>-35981</v>
      </c>
      <c r="CP2" s="19">
        <v>102</v>
      </c>
      <c r="CQ2" s="19">
        <v>4</v>
      </c>
      <c r="CR2" s="19">
        <v>4</v>
      </c>
      <c r="CS2" s="19">
        <v>2</v>
      </c>
      <c r="CT2" s="19">
        <v>24</v>
      </c>
      <c r="CU2" s="19">
        <v>18</v>
      </c>
      <c r="CV2" s="19">
        <v>75</v>
      </c>
      <c r="CW2" s="19">
        <f t="shared" ref="CW2:CW102" si="5">AD2-AE2</f>
        <v>8</v>
      </c>
      <c r="CX2" s="19">
        <f t="shared" ref="CX2:CX102" si="6">CK2-CL2</f>
        <v>14</v>
      </c>
      <c r="CY2" s="19">
        <f t="shared" ref="CY2:CY102" si="7">AM2-AN2</f>
        <v>0</v>
      </c>
      <c r="CZ2" s="19">
        <f t="shared" ref="CZ2:CZ102" si="8">CT2-CU2</f>
        <v>6</v>
      </c>
    </row>
    <row r="3" spans="1:104" ht="15.75" customHeight="1" x14ac:dyDescent="0.35">
      <c r="A3" s="15" t="s">
        <v>108</v>
      </c>
      <c r="B3" s="16">
        <v>1</v>
      </c>
      <c r="C3" s="15" t="s">
        <v>109</v>
      </c>
      <c r="D3" s="16">
        <v>7</v>
      </c>
      <c r="E3" s="16">
        <v>2</v>
      </c>
      <c r="F3" s="15" t="s">
        <v>106</v>
      </c>
      <c r="G3" s="15" t="s">
        <v>107</v>
      </c>
      <c r="H3" s="15">
        <v>2</v>
      </c>
      <c r="I3" s="15">
        <v>3</v>
      </c>
      <c r="J3" s="17"/>
      <c r="K3" s="16">
        <v>5</v>
      </c>
      <c r="L3" s="16">
        <v>4</v>
      </c>
      <c r="M3" s="16">
        <v>24</v>
      </c>
      <c r="N3" s="16">
        <v>103</v>
      </c>
      <c r="O3" s="18">
        <f t="shared" si="0"/>
        <v>127</v>
      </c>
      <c r="P3" s="16">
        <v>29</v>
      </c>
      <c r="Q3" s="16">
        <v>0</v>
      </c>
      <c r="R3" s="16">
        <v>25</v>
      </c>
      <c r="S3" s="16">
        <v>256</v>
      </c>
      <c r="T3" s="19">
        <v>3</v>
      </c>
      <c r="U3" s="19">
        <v>4</v>
      </c>
      <c r="V3" s="19">
        <v>4</v>
      </c>
      <c r="W3" s="19">
        <v>35</v>
      </c>
      <c r="X3" s="19">
        <v>92</v>
      </c>
      <c r="Y3" s="19">
        <v>127</v>
      </c>
      <c r="Z3" s="19">
        <v>8</v>
      </c>
      <c r="AA3" s="19">
        <v>8</v>
      </c>
      <c r="AB3" s="19">
        <v>16</v>
      </c>
      <c r="AC3" s="19">
        <v>0</v>
      </c>
      <c r="AD3" s="19">
        <v>87</v>
      </c>
      <c r="AE3" s="19">
        <v>61</v>
      </c>
      <c r="AF3" s="19">
        <v>70.11</v>
      </c>
      <c r="AG3" s="19">
        <v>5</v>
      </c>
      <c r="AH3" s="19">
        <v>23</v>
      </c>
      <c r="AI3" s="19">
        <v>28</v>
      </c>
      <c r="AJ3" s="19">
        <v>4</v>
      </c>
      <c r="AK3" s="19">
        <v>4</v>
      </c>
      <c r="AL3" s="19">
        <v>2</v>
      </c>
      <c r="AM3" s="19">
        <v>26</v>
      </c>
      <c r="AN3" s="19">
        <v>18</v>
      </c>
      <c r="AO3" s="19">
        <v>69.23</v>
      </c>
      <c r="AP3" s="16">
        <v>39</v>
      </c>
      <c r="AQ3" s="16"/>
      <c r="AR3" s="15">
        <v>44</v>
      </c>
      <c r="AS3" s="15">
        <v>1</v>
      </c>
      <c r="AT3" s="15">
        <v>51</v>
      </c>
      <c r="AU3" s="15">
        <v>2</v>
      </c>
      <c r="AV3" s="15">
        <v>41</v>
      </c>
      <c r="AW3" s="15">
        <v>1</v>
      </c>
      <c r="AX3" s="16">
        <v>48</v>
      </c>
      <c r="AY3" s="16"/>
      <c r="AZ3" s="15">
        <v>52</v>
      </c>
      <c r="BA3" s="15">
        <v>2</v>
      </c>
      <c r="BB3" s="16">
        <v>56</v>
      </c>
      <c r="BC3" s="16"/>
      <c r="BD3" s="16">
        <v>50</v>
      </c>
      <c r="BE3" s="16"/>
      <c r="BF3" s="16">
        <v>13</v>
      </c>
      <c r="BG3" s="16">
        <v>10</v>
      </c>
      <c r="BH3" s="16">
        <f t="shared" si="1"/>
        <v>23</v>
      </c>
      <c r="BI3" s="16">
        <v>9</v>
      </c>
      <c r="BJ3" s="16">
        <v>14</v>
      </c>
      <c r="BK3" s="16">
        <f t="shared" si="2"/>
        <v>23</v>
      </c>
      <c r="BL3" s="16">
        <v>6</v>
      </c>
      <c r="BM3" s="16">
        <v>8</v>
      </c>
      <c r="BN3" s="16">
        <v>8</v>
      </c>
      <c r="BO3" s="16">
        <v>6</v>
      </c>
      <c r="BP3" s="16">
        <v>4</v>
      </c>
      <c r="BQ3" s="16">
        <f t="shared" si="3"/>
        <v>32</v>
      </c>
      <c r="BR3" s="16">
        <v>6</v>
      </c>
      <c r="BS3" s="16">
        <v>5</v>
      </c>
      <c r="BT3" s="16">
        <v>34</v>
      </c>
      <c r="BU3" s="16">
        <v>95</v>
      </c>
      <c r="BV3" s="18">
        <f t="shared" si="4"/>
        <v>129</v>
      </c>
      <c r="BW3" s="16">
        <v>32</v>
      </c>
      <c r="BX3" s="16">
        <v>0</v>
      </c>
      <c r="BY3" s="16">
        <v>28</v>
      </c>
      <c r="BZ3" s="16">
        <v>220</v>
      </c>
      <c r="CA3" s="21">
        <v>7</v>
      </c>
      <c r="CB3" s="21">
        <v>9</v>
      </c>
      <c r="CC3" s="21">
        <v>7</v>
      </c>
      <c r="CD3" s="19">
        <v>17</v>
      </c>
      <c r="CE3" s="19">
        <v>54</v>
      </c>
      <c r="CF3" s="19">
        <v>71</v>
      </c>
      <c r="CG3" s="19">
        <v>8</v>
      </c>
      <c r="CH3" s="19">
        <v>8</v>
      </c>
      <c r="CI3" s="19">
        <v>16</v>
      </c>
      <c r="CJ3" s="19">
        <v>0</v>
      </c>
      <c r="CK3" s="19">
        <v>61</v>
      </c>
      <c r="CL3" s="19">
        <v>61</v>
      </c>
      <c r="CM3" s="19">
        <v>100</v>
      </c>
      <c r="CN3" s="19">
        <v>6</v>
      </c>
      <c r="CO3" s="19">
        <v>25</v>
      </c>
      <c r="CP3" s="19">
        <v>31</v>
      </c>
      <c r="CQ3" s="19">
        <v>5</v>
      </c>
      <c r="CR3" s="19">
        <v>6</v>
      </c>
      <c r="CS3" s="19">
        <v>2</v>
      </c>
      <c r="CT3" s="19">
        <v>30</v>
      </c>
      <c r="CU3" s="19">
        <v>28</v>
      </c>
      <c r="CV3" s="19">
        <v>93.33</v>
      </c>
      <c r="CW3" s="19">
        <f t="shared" si="5"/>
        <v>26</v>
      </c>
      <c r="CX3" s="19">
        <f t="shared" si="6"/>
        <v>0</v>
      </c>
      <c r="CY3" s="19">
        <f t="shared" si="7"/>
        <v>8</v>
      </c>
      <c r="CZ3" s="19">
        <f t="shared" si="8"/>
        <v>2</v>
      </c>
    </row>
    <row r="4" spans="1:104" ht="15.75" customHeight="1" x14ac:dyDescent="0.35">
      <c r="A4" s="15" t="s">
        <v>110</v>
      </c>
      <c r="B4" s="16">
        <v>1</v>
      </c>
      <c r="C4" s="15" t="s">
        <v>109</v>
      </c>
      <c r="D4" s="16">
        <v>7</v>
      </c>
      <c r="E4" s="16">
        <v>2</v>
      </c>
      <c r="F4" s="15" t="s">
        <v>106</v>
      </c>
      <c r="G4" s="15" t="s">
        <v>107</v>
      </c>
      <c r="H4" s="15">
        <v>2</v>
      </c>
      <c r="I4" s="15">
        <v>3</v>
      </c>
      <c r="J4" s="17"/>
      <c r="K4" s="16">
        <v>3</v>
      </c>
      <c r="L4" s="16">
        <v>0</v>
      </c>
      <c r="M4" s="16">
        <v>105</v>
      </c>
      <c r="N4" s="16">
        <v>272</v>
      </c>
      <c r="O4" s="18">
        <f t="shared" si="0"/>
        <v>377</v>
      </c>
      <c r="P4" s="16">
        <v>24</v>
      </c>
      <c r="Q4" s="16">
        <v>1</v>
      </c>
      <c r="R4" s="16">
        <v>25</v>
      </c>
      <c r="S4" s="16">
        <v>370</v>
      </c>
      <c r="T4" s="21">
        <v>1</v>
      </c>
      <c r="U4" s="21">
        <v>2</v>
      </c>
      <c r="V4" s="21">
        <v>0</v>
      </c>
      <c r="W4" s="19">
        <v>36</v>
      </c>
      <c r="X4" s="19">
        <v>224</v>
      </c>
      <c r="Y4" s="19">
        <v>260</v>
      </c>
      <c r="Z4" s="19">
        <v>8</v>
      </c>
      <c r="AA4" s="19">
        <v>8</v>
      </c>
      <c r="AB4" s="19">
        <v>16</v>
      </c>
      <c r="AC4" s="19">
        <v>0</v>
      </c>
      <c r="AD4" s="19">
        <v>65</v>
      </c>
      <c r="AE4" s="19">
        <v>61</v>
      </c>
      <c r="AF4" s="19">
        <v>93.85</v>
      </c>
      <c r="AG4" s="19">
        <v>6</v>
      </c>
      <c r="AH4" s="19">
        <v>38</v>
      </c>
      <c r="AI4" s="19">
        <v>44</v>
      </c>
      <c r="AJ4" s="19">
        <v>3</v>
      </c>
      <c r="AK4" s="19">
        <v>2</v>
      </c>
      <c r="AL4" s="19">
        <v>2</v>
      </c>
      <c r="AM4" s="19">
        <v>10</v>
      </c>
      <c r="AN4" s="19">
        <v>8</v>
      </c>
      <c r="AO4" s="19">
        <v>80</v>
      </c>
      <c r="AP4" s="16">
        <v>35</v>
      </c>
      <c r="AQ4" s="16"/>
      <c r="AR4" s="16">
        <v>47</v>
      </c>
      <c r="AS4" s="16"/>
      <c r="AT4" s="16">
        <v>40</v>
      </c>
      <c r="AU4" s="16"/>
      <c r="AV4" s="16">
        <v>40</v>
      </c>
      <c r="AW4" s="16"/>
      <c r="AX4" s="16">
        <v>39</v>
      </c>
      <c r="AY4" s="16"/>
      <c r="AZ4" s="16">
        <v>57</v>
      </c>
      <c r="BA4" s="16"/>
      <c r="BB4" s="16">
        <v>50</v>
      </c>
      <c r="BC4" s="16"/>
      <c r="BD4" s="16">
        <v>47</v>
      </c>
      <c r="BE4" s="16"/>
      <c r="BF4" s="16">
        <v>12</v>
      </c>
      <c r="BG4" s="16">
        <v>8</v>
      </c>
      <c r="BH4" s="16">
        <f t="shared" si="1"/>
        <v>20</v>
      </c>
      <c r="BI4" s="16">
        <v>11</v>
      </c>
      <c r="BJ4" s="16">
        <v>12</v>
      </c>
      <c r="BK4" s="16">
        <f t="shared" si="2"/>
        <v>23</v>
      </c>
      <c r="BL4" s="16">
        <v>7</v>
      </c>
      <c r="BM4" s="16">
        <v>12</v>
      </c>
      <c r="BN4" s="16">
        <v>10</v>
      </c>
      <c r="BO4" s="16">
        <v>9</v>
      </c>
      <c r="BP4" s="16">
        <v>10</v>
      </c>
      <c r="BQ4" s="16">
        <f t="shared" si="3"/>
        <v>48</v>
      </c>
      <c r="BR4" s="16">
        <v>3</v>
      </c>
      <c r="BS4" s="16">
        <v>4</v>
      </c>
      <c r="BT4" s="16">
        <v>155</v>
      </c>
      <c r="BU4" s="16">
        <v>148</v>
      </c>
      <c r="BV4" s="18">
        <f t="shared" si="4"/>
        <v>303</v>
      </c>
      <c r="BW4" s="16">
        <v>32</v>
      </c>
      <c r="BX4" s="16">
        <v>0</v>
      </c>
      <c r="BY4" s="16">
        <v>32</v>
      </c>
      <c r="BZ4" s="16">
        <v>439</v>
      </c>
      <c r="CA4" s="21">
        <v>3</v>
      </c>
      <c r="CB4" s="21">
        <v>4</v>
      </c>
      <c r="CC4" s="21">
        <v>4</v>
      </c>
      <c r="CD4" s="19">
        <v>28</v>
      </c>
      <c r="CE4" s="19">
        <v>121</v>
      </c>
      <c r="CF4" s="19">
        <v>149</v>
      </c>
      <c r="CG4" s="19">
        <v>8</v>
      </c>
      <c r="CH4" s="19">
        <v>8</v>
      </c>
      <c r="CI4" s="19">
        <v>16</v>
      </c>
      <c r="CJ4" s="19">
        <v>0</v>
      </c>
      <c r="CK4" s="19">
        <v>61</v>
      </c>
      <c r="CL4" s="19">
        <v>61</v>
      </c>
      <c r="CM4" s="19">
        <v>100</v>
      </c>
      <c r="CN4" s="19">
        <v>10</v>
      </c>
      <c r="CO4" s="19">
        <v>55</v>
      </c>
      <c r="CP4" s="19">
        <v>65</v>
      </c>
      <c r="CQ4" s="19">
        <v>5</v>
      </c>
      <c r="CR4" s="19">
        <v>6</v>
      </c>
      <c r="CS4" s="19">
        <v>2</v>
      </c>
      <c r="CT4" s="19">
        <v>28</v>
      </c>
      <c r="CU4" s="19">
        <v>28</v>
      </c>
      <c r="CV4" s="19">
        <v>100</v>
      </c>
      <c r="CW4" s="19">
        <f t="shared" si="5"/>
        <v>4</v>
      </c>
      <c r="CX4" s="19">
        <f t="shared" si="6"/>
        <v>0</v>
      </c>
      <c r="CY4" s="19">
        <f t="shared" si="7"/>
        <v>2</v>
      </c>
      <c r="CZ4" s="19">
        <f t="shared" si="8"/>
        <v>0</v>
      </c>
    </row>
    <row r="5" spans="1:104" ht="15.75" customHeight="1" x14ac:dyDescent="0.35">
      <c r="A5" s="15" t="s">
        <v>111</v>
      </c>
      <c r="B5" s="16">
        <v>1</v>
      </c>
      <c r="C5" s="15" t="s">
        <v>109</v>
      </c>
      <c r="D5" s="16">
        <v>7</v>
      </c>
      <c r="E5" s="16">
        <v>2</v>
      </c>
      <c r="F5" s="15" t="s">
        <v>106</v>
      </c>
      <c r="G5" s="15" t="s">
        <v>107</v>
      </c>
      <c r="H5" s="15">
        <v>2</v>
      </c>
      <c r="I5" s="15">
        <v>3</v>
      </c>
      <c r="J5" s="17"/>
      <c r="K5" s="16">
        <v>5</v>
      </c>
      <c r="L5" s="16">
        <v>4</v>
      </c>
      <c r="M5" s="16">
        <v>141</v>
      </c>
      <c r="N5" s="16">
        <v>137</v>
      </c>
      <c r="O5" s="18">
        <f t="shared" si="0"/>
        <v>278</v>
      </c>
      <c r="P5" s="16">
        <v>28</v>
      </c>
      <c r="Q5" s="16">
        <v>1</v>
      </c>
      <c r="R5" s="16">
        <v>22</v>
      </c>
      <c r="S5" s="16">
        <v>523</v>
      </c>
      <c r="T5" s="21">
        <v>3</v>
      </c>
      <c r="U5" s="21">
        <v>4</v>
      </c>
      <c r="V5" s="21">
        <v>2</v>
      </c>
      <c r="W5" s="19">
        <v>73</v>
      </c>
      <c r="X5" s="19">
        <v>167</v>
      </c>
      <c r="Y5" s="19">
        <v>240</v>
      </c>
      <c r="Z5" s="19">
        <v>8</v>
      </c>
      <c r="AA5" s="19">
        <v>8</v>
      </c>
      <c r="AB5" s="19">
        <v>16</v>
      </c>
      <c r="AC5" s="19">
        <v>0</v>
      </c>
      <c r="AD5" s="19">
        <v>65</v>
      </c>
      <c r="AE5" s="19">
        <v>61</v>
      </c>
      <c r="AF5" s="19">
        <v>93.85</v>
      </c>
      <c r="AG5" s="19">
        <v>20</v>
      </c>
      <c r="AH5" s="19">
        <v>125</v>
      </c>
      <c r="AI5" s="19">
        <v>145</v>
      </c>
      <c r="AJ5" s="19">
        <v>8</v>
      </c>
      <c r="AK5" s="19">
        <v>9</v>
      </c>
      <c r="AL5" s="19">
        <v>3</v>
      </c>
      <c r="AM5" s="19">
        <v>47</v>
      </c>
      <c r="AN5" s="19">
        <v>45</v>
      </c>
      <c r="AO5" s="19">
        <v>95.74</v>
      </c>
      <c r="AP5" s="15">
        <v>36</v>
      </c>
      <c r="AQ5" s="15">
        <v>3</v>
      </c>
      <c r="AR5" s="15">
        <v>54</v>
      </c>
      <c r="AS5" s="15">
        <v>4</v>
      </c>
      <c r="AT5" s="15">
        <v>57</v>
      </c>
      <c r="AU5" s="15">
        <v>1</v>
      </c>
      <c r="AV5" s="15">
        <v>42</v>
      </c>
      <c r="AW5" s="15">
        <v>2</v>
      </c>
      <c r="AX5" s="16">
        <v>34</v>
      </c>
      <c r="AY5" s="16"/>
      <c r="AZ5" s="16">
        <v>57</v>
      </c>
      <c r="BA5" s="16"/>
      <c r="BB5" s="16">
        <v>55</v>
      </c>
      <c r="BC5" s="16"/>
      <c r="BD5" s="16">
        <v>60</v>
      </c>
      <c r="BE5" s="16"/>
      <c r="BF5" s="16">
        <v>9</v>
      </c>
      <c r="BG5" s="16">
        <v>6</v>
      </c>
      <c r="BH5" s="16">
        <f t="shared" si="1"/>
        <v>15</v>
      </c>
      <c r="BI5" s="16">
        <v>13</v>
      </c>
      <c r="BJ5" s="16">
        <v>8</v>
      </c>
      <c r="BK5" s="16">
        <f t="shared" si="2"/>
        <v>21</v>
      </c>
      <c r="BL5" s="16">
        <v>7</v>
      </c>
      <c r="BM5" s="16">
        <v>12</v>
      </c>
      <c r="BN5" s="16">
        <v>12</v>
      </c>
      <c r="BO5" s="16">
        <v>9</v>
      </c>
      <c r="BP5" s="16">
        <v>5</v>
      </c>
      <c r="BQ5" s="16">
        <f t="shared" si="3"/>
        <v>45</v>
      </c>
      <c r="BR5" s="16">
        <v>4</v>
      </c>
      <c r="BS5" s="16">
        <v>5</v>
      </c>
      <c r="BT5" s="16">
        <v>84</v>
      </c>
      <c r="BU5" s="16">
        <v>111</v>
      </c>
      <c r="BV5" s="18">
        <f t="shared" si="4"/>
        <v>195</v>
      </c>
      <c r="BW5" s="16">
        <v>28</v>
      </c>
      <c r="BX5" s="16">
        <v>0</v>
      </c>
      <c r="BY5" s="16">
        <v>24</v>
      </c>
      <c r="BZ5" s="16">
        <v>307</v>
      </c>
      <c r="CA5" s="19">
        <v>4</v>
      </c>
      <c r="CB5" s="19">
        <v>5</v>
      </c>
      <c r="CC5" s="19">
        <v>4</v>
      </c>
      <c r="CD5" s="19">
        <v>30</v>
      </c>
      <c r="CE5" s="19">
        <v>121</v>
      </c>
      <c r="CF5" s="19">
        <v>151</v>
      </c>
      <c r="CG5" s="19">
        <v>9</v>
      </c>
      <c r="CH5" s="19">
        <v>8</v>
      </c>
      <c r="CI5" s="19">
        <v>16</v>
      </c>
      <c r="CJ5" s="19">
        <v>0</v>
      </c>
      <c r="CK5" s="19">
        <v>63</v>
      </c>
      <c r="CL5" s="19">
        <v>61</v>
      </c>
      <c r="CM5" s="19">
        <v>96.83</v>
      </c>
      <c r="CN5" s="19">
        <v>7</v>
      </c>
      <c r="CO5" s="19">
        <v>55</v>
      </c>
      <c r="CP5" s="19">
        <v>62</v>
      </c>
      <c r="CQ5" s="19">
        <v>5</v>
      </c>
      <c r="CR5" s="19">
        <v>6</v>
      </c>
      <c r="CS5" s="19">
        <v>2</v>
      </c>
      <c r="CT5" s="19">
        <v>30</v>
      </c>
      <c r="CU5" s="19">
        <v>28</v>
      </c>
      <c r="CV5" s="19">
        <v>93.33</v>
      </c>
      <c r="CW5" s="19">
        <f t="shared" si="5"/>
        <v>4</v>
      </c>
      <c r="CX5" s="19">
        <f t="shared" si="6"/>
        <v>2</v>
      </c>
      <c r="CY5" s="19">
        <f t="shared" si="7"/>
        <v>2</v>
      </c>
      <c r="CZ5" s="19">
        <f t="shared" si="8"/>
        <v>2</v>
      </c>
    </row>
    <row r="6" spans="1:104" ht="15.75" customHeight="1" x14ac:dyDescent="0.35">
      <c r="A6" s="15" t="s">
        <v>112</v>
      </c>
      <c r="B6" s="16">
        <v>1</v>
      </c>
      <c r="C6" s="15" t="s">
        <v>105</v>
      </c>
      <c r="D6" s="16">
        <v>7</v>
      </c>
      <c r="E6" s="16">
        <v>1</v>
      </c>
      <c r="F6" s="15" t="s">
        <v>106</v>
      </c>
      <c r="G6" s="15" t="s">
        <v>107</v>
      </c>
      <c r="H6" s="15">
        <v>2</v>
      </c>
      <c r="I6" s="15">
        <v>3</v>
      </c>
      <c r="J6" s="17"/>
      <c r="K6" s="16">
        <v>4</v>
      </c>
      <c r="L6" s="16">
        <v>3</v>
      </c>
      <c r="M6" s="16">
        <v>35</v>
      </c>
      <c r="N6" s="16">
        <v>229</v>
      </c>
      <c r="O6" s="18">
        <f t="shared" si="0"/>
        <v>264</v>
      </c>
      <c r="P6" s="16">
        <v>18</v>
      </c>
      <c r="Q6" s="16">
        <v>7</v>
      </c>
      <c r="R6" s="16">
        <v>17</v>
      </c>
      <c r="S6" s="16">
        <v>376</v>
      </c>
      <c r="T6" s="21">
        <v>2</v>
      </c>
      <c r="U6" s="21">
        <v>4</v>
      </c>
      <c r="V6" s="21">
        <v>1</v>
      </c>
      <c r="W6" s="19">
        <v>41</v>
      </c>
      <c r="X6" s="19">
        <v>173</v>
      </c>
      <c r="Y6" s="19">
        <v>214</v>
      </c>
      <c r="Z6" s="19">
        <v>8</v>
      </c>
      <c r="AA6" s="19">
        <v>8</v>
      </c>
      <c r="AB6" s="19">
        <v>16</v>
      </c>
      <c r="AC6" s="19">
        <v>0</v>
      </c>
      <c r="AD6" s="19">
        <v>69</v>
      </c>
      <c r="AE6" s="19">
        <v>61</v>
      </c>
      <c r="AF6" s="19">
        <v>88.41</v>
      </c>
      <c r="AG6" s="19">
        <v>14</v>
      </c>
      <c r="AH6" s="19">
        <v>105</v>
      </c>
      <c r="AI6" s="19">
        <v>119</v>
      </c>
      <c r="AJ6" s="19">
        <v>8</v>
      </c>
      <c r="AK6" s="19">
        <v>9</v>
      </c>
      <c r="AL6" s="19">
        <v>3</v>
      </c>
      <c r="AM6" s="19">
        <v>59</v>
      </c>
      <c r="AN6" s="19">
        <v>47</v>
      </c>
      <c r="AO6" s="19">
        <v>79.66</v>
      </c>
      <c r="AP6" s="15">
        <v>23</v>
      </c>
      <c r="AQ6" s="15">
        <v>2</v>
      </c>
      <c r="AR6" s="15">
        <v>18</v>
      </c>
      <c r="AS6" s="15">
        <v>2</v>
      </c>
      <c r="AT6" s="15">
        <v>40</v>
      </c>
      <c r="AU6" s="15">
        <v>2</v>
      </c>
      <c r="AV6" s="15">
        <v>41</v>
      </c>
      <c r="AW6" s="15">
        <v>1</v>
      </c>
      <c r="AX6" s="15">
        <v>37</v>
      </c>
      <c r="AY6" s="15">
        <v>3</v>
      </c>
      <c r="AZ6" s="15">
        <v>45</v>
      </c>
      <c r="BA6" s="15">
        <v>3</v>
      </c>
      <c r="BB6" s="16">
        <v>41</v>
      </c>
      <c r="BC6" s="16"/>
      <c r="BD6" s="16">
        <v>51</v>
      </c>
      <c r="BE6" s="16"/>
      <c r="BF6" s="16">
        <v>13</v>
      </c>
      <c r="BG6" s="16">
        <v>5</v>
      </c>
      <c r="BH6" s="16">
        <f t="shared" si="1"/>
        <v>18</v>
      </c>
      <c r="BI6" s="16">
        <v>13</v>
      </c>
      <c r="BJ6" s="16">
        <v>10</v>
      </c>
      <c r="BK6" s="16">
        <f t="shared" si="2"/>
        <v>23</v>
      </c>
      <c r="BL6" s="16">
        <v>6</v>
      </c>
      <c r="BM6" s="16">
        <v>13</v>
      </c>
      <c r="BN6" s="16">
        <v>14</v>
      </c>
      <c r="BO6" s="16">
        <v>11</v>
      </c>
      <c r="BP6" s="16">
        <v>8</v>
      </c>
      <c r="BQ6" s="16">
        <f t="shared" si="3"/>
        <v>52</v>
      </c>
      <c r="BR6" s="16">
        <v>3</v>
      </c>
      <c r="BS6" s="16">
        <v>3</v>
      </c>
      <c r="BT6" s="16">
        <v>46</v>
      </c>
      <c r="BU6" s="16">
        <v>88</v>
      </c>
      <c r="BV6" s="18">
        <f t="shared" si="4"/>
        <v>134</v>
      </c>
      <c r="BW6" s="16">
        <v>24</v>
      </c>
      <c r="BX6" s="16">
        <v>0</v>
      </c>
      <c r="BY6" s="16">
        <v>23</v>
      </c>
      <c r="BZ6" s="16">
        <v>510</v>
      </c>
      <c r="CA6" s="19">
        <v>2</v>
      </c>
      <c r="CB6" s="19">
        <v>3</v>
      </c>
      <c r="CC6" s="19">
        <v>2</v>
      </c>
      <c r="CD6" s="19">
        <v>32</v>
      </c>
      <c r="CE6" s="19">
        <v>86</v>
      </c>
      <c r="CF6" s="19">
        <v>118</v>
      </c>
      <c r="CG6" s="19">
        <v>8</v>
      </c>
      <c r="CH6" s="19">
        <v>8</v>
      </c>
      <c r="CI6" s="19">
        <v>16</v>
      </c>
      <c r="CJ6" s="19">
        <v>0</v>
      </c>
      <c r="CK6" s="19">
        <v>65</v>
      </c>
      <c r="CL6" s="19">
        <v>61</v>
      </c>
      <c r="CM6" s="19">
        <v>93.85</v>
      </c>
      <c r="CN6" s="19">
        <v>8</v>
      </c>
      <c r="CO6" s="19">
        <v>29</v>
      </c>
      <c r="CP6" s="19">
        <v>37</v>
      </c>
      <c r="CQ6" s="19">
        <v>4</v>
      </c>
      <c r="CR6" s="19">
        <v>4</v>
      </c>
      <c r="CS6" s="19">
        <v>2</v>
      </c>
      <c r="CT6" s="19">
        <v>24</v>
      </c>
      <c r="CU6" s="19">
        <v>18</v>
      </c>
      <c r="CV6" s="19">
        <v>75</v>
      </c>
      <c r="CW6" s="19">
        <f t="shared" si="5"/>
        <v>8</v>
      </c>
      <c r="CX6" s="19">
        <f t="shared" si="6"/>
        <v>4</v>
      </c>
      <c r="CY6" s="19">
        <f t="shared" si="7"/>
        <v>12</v>
      </c>
      <c r="CZ6" s="19">
        <f t="shared" si="8"/>
        <v>6</v>
      </c>
    </row>
    <row r="7" spans="1:104" ht="15.75" customHeight="1" x14ac:dyDescent="0.35">
      <c r="A7" s="15" t="s">
        <v>113</v>
      </c>
      <c r="B7" s="16">
        <v>1</v>
      </c>
      <c r="C7" s="15" t="s">
        <v>109</v>
      </c>
      <c r="D7" s="16">
        <v>7</v>
      </c>
      <c r="E7" s="16">
        <v>1</v>
      </c>
      <c r="F7" s="15" t="s">
        <v>106</v>
      </c>
      <c r="G7" s="15" t="s">
        <v>107</v>
      </c>
      <c r="H7" s="15">
        <v>2</v>
      </c>
      <c r="I7" s="15">
        <v>3</v>
      </c>
      <c r="J7" s="17"/>
      <c r="K7" s="16">
        <v>6</v>
      </c>
      <c r="L7" s="16">
        <v>4</v>
      </c>
      <c r="M7" s="16">
        <v>46</v>
      </c>
      <c r="N7" s="16">
        <v>60</v>
      </c>
      <c r="O7" s="18">
        <f t="shared" si="0"/>
        <v>106</v>
      </c>
      <c r="P7" s="16">
        <v>22</v>
      </c>
      <c r="Q7" s="16">
        <v>1</v>
      </c>
      <c r="R7" s="16">
        <v>22</v>
      </c>
      <c r="S7" s="16">
        <v>379</v>
      </c>
      <c r="T7" s="19">
        <v>5</v>
      </c>
      <c r="U7" s="19">
        <v>6</v>
      </c>
      <c r="V7" s="19">
        <v>4</v>
      </c>
      <c r="W7" s="19">
        <v>32</v>
      </c>
      <c r="X7" s="19">
        <v>79</v>
      </c>
      <c r="Y7" s="19">
        <v>111</v>
      </c>
      <c r="Z7" s="19">
        <v>8</v>
      </c>
      <c r="AA7" s="19">
        <v>8</v>
      </c>
      <c r="AB7" s="19">
        <v>16</v>
      </c>
      <c r="AC7" s="19">
        <v>0</v>
      </c>
      <c r="AD7" s="19">
        <v>61</v>
      </c>
      <c r="AE7" s="19">
        <v>61</v>
      </c>
      <c r="AF7" s="19">
        <v>100</v>
      </c>
      <c r="AG7" s="19">
        <v>10</v>
      </c>
      <c r="AH7" s="19">
        <v>34</v>
      </c>
      <c r="AI7" s="19">
        <v>44</v>
      </c>
      <c r="AJ7" s="19">
        <v>4</v>
      </c>
      <c r="AK7" s="19">
        <v>4</v>
      </c>
      <c r="AL7" s="19">
        <v>2</v>
      </c>
      <c r="AM7" s="19">
        <v>22</v>
      </c>
      <c r="AN7" s="19">
        <v>18</v>
      </c>
      <c r="AO7" s="19">
        <v>81.819999999999993</v>
      </c>
      <c r="AP7" s="15">
        <v>24</v>
      </c>
      <c r="AQ7" s="15">
        <v>1</v>
      </c>
      <c r="AR7" s="16">
        <v>22</v>
      </c>
      <c r="AS7" s="16"/>
      <c r="AT7" s="16">
        <v>51</v>
      </c>
      <c r="AU7" s="16"/>
      <c r="AV7" s="15">
        <v>39</v>
      </c>
      <c r="AW7" s="15">
        <v>1</v>
      </c>
      <c r="AX7" s="16">
        <v>51</v>
      </c>
      <c r="AY7" s="16"/>
      <c r="AZ7" s="15">
        <v>54</v>
      </c>
      <c r="BA7" s="15">
        <v>1</v>
      </c>
      <c r="BB7" s="16">
        <v>61</v>
      </c>
      <c r="BC7" s="16"/>
      <c r="BD7" s="16">
        <v>58</v>
      </c>
      <c r="BE7" s="16"/>
      <c r="BF7" s="16">
        <v>10</v>
      </c>
      <c r="BG7" s="16">
        <v>8</v>
      </c>
      <c r="BH7" s="16">
        <f t="shared" si="1"/>
        <v>18</v>
      </c>
      <c r="BI7" s="16">
        <v>11</v>
      </c>
      <c r="BJ7" s="16">
        <v>8</v>
      </c>
      <c r="BK7" s="16">
        <f t="shared" si="2"/>
        <v>19</v>
      </c>
      <c r="BL7" s="16">
        <v>4</v>
      </c>
      <c r="BM7" s="16">
        <v>10</v>
      </c>
      <c r="BN7" s="16">
        <v>11</v>
      </c>
      <c r="BO7" s="16">
        <v>11</v>
      </c>
      <c r="BP7" s="16">
        <v>7</v>
      </c>
      <c r="BQ7" s="16">
        <f t="shared" si="3"/>
        <v>43</v>
      </c>
      <c r="BR7" s="16">
        <v>7</v>
      </c>
      <c r="BS7" s="16">
        <v>4</v>
      </c>
      <c r="BT7" s="16">
        <v>96</v>
      </c>
      <c r="BU7" s="16">
        <v>50</v>
      </c>
      <c r="BV7" s="18">
        <f t="shared" si="4"/>
        <v>146</v>
      </c>
      <c r="BW7" s="16">
        <v>29</v>
      </c>
      <c r="BX7" s="16">
        <v>3</v>
      </c>
      <c r="BY7" s="16">
        <v>25</v>
      </c>
      <c r="BZ7" s="16">
        <v>240</v>
      </c>
      <c r="CA7" s="19">
        <v>3</v>
      </c>
      <c r="CB7" s="19">
        <v>4</v>
      </c>
      <c r="CC7" s="19">
        <v>4</v>
      </c>
      <c r="CD7" s="19">
        <v>61</v>
      </c>
      <c r="CE7" s="19">
        <v>103</v>
      </c>
      <c r="CF7" s="19">
        <v>164</v>
      </c>
      <c r="CG7" s="19">
        <v>8</v>
      </c>
      <c r="CH7" s="19">
        <v>8</v>
      </c>
      <c r="CI7" s="19">
        <v>16</v>
      </c>
      <c r="CJ7" s="19">
        <v>0</v>
      </c>
      <c r="CK7" s="19">
        <v>61</v>
      </c>
      <c r="CL7" s="19">
        <v>61</v>
      </c>
      <c r="CM7" s="19">
        <v>100</v>
      </c>
      <c r="CN7" s="19">
        <v>11</v>
      </c>
      <c r="CO7" s="19">
        <v>66</v>
      </c>
      <c r="CP7" s="19">
        <v>77</v>
      </c>
      <c r="CQ7" s="19">
        <v>6</v>
      </c>
      <c r="CR7" s="19">
        <v>5</v>
      </c>
      <c r="CS7" s="19">
        <v>3</v>
      </c>
      <c r="CT7" s="19">
        <v>26</v>
      </c>
      <c r="CU7" s="19">
        <v>26</v>
      </c>
      <c r="CV7" s="19">
        <v>100</v>
      </c>
      <c r="CW7" s="19">
        <f t="shared" si="5"/>
        <v>0</v>
      </c>
      <c r="CX7" s="19">
        <f t="shared" si="6"/>
        <v>0</v>
      </c>
      <c r="CY7" s="19">
        <f t="shared" si="7"/>
        <v>4</v>
      </c>
      <c r="CZ7" s="19">
        <f t="shared" si="8"/>
        <v>0</v>
      </c>
    </row>
    <row r="8" spans="1:104" ht="15.75" customHeight="1" x14ac:dyDescent="0.35">
      <c r="A8" s="15" t="s">
        <v>114</v>
      </c>
      <c r="B8" s="16">
        <v>1</v>
      </c>
      <c r="C8" s="15" t="s">
        <v>109</v>
      </c>
      <c r="D8" s="16">
        <v>7</v>
      </c>
      <c r="E8" s="16">
        <v>2</v>
      </c>
      <c r="F8" s="15" t="s">
        <v>106</v>
      </c>
      <c r="G8" s="15" t="s">
        <v>107</v>
      </c>
      <c r="H8" s="15">
        <v>2</v>
      </c>
      <c r="I8" s="15">
        <v>3</v>
      </c>
      <c r="J8" s="17"/>
      <c r="K8" s="16">
        <v>4</v>
      </c>
      <c r="L8" s="16">
        <v>3</v>
      </c>
      <c r="M8" s="16">
        <v>50</v>
      </c>
      <c r="N8" s="16">
        <v>84</v>
      </c>
      <c r="O8" s="18">
        <f t="shared" si="0"/>
        <v>134</v>
      </c>
      <c r="P8" s="16">
        <v>25</v>
      </c>
      <c r="Q8" s="16">
        <v>0</v>
      </c>
      <c r="R8" s="16">
        <v>25</v>
      </c>
      <c r="S8" s="16">
        <v>355</v>
      </c>
      <c r="T8" s="19">
        <v>3</v>
      </c>
      <c r="U8" s="19">
        <v>4</v>
      </c>
      <c r="V8" s="19">
        <v>4</v>
      </c>
      <c r="W8" s="19">
        <v>42</v>
      </c>
      <c r="X8" s="19">
        <v>88</v>
      </c>
      <c r="Y8" s="19">
        <v>130</v>
      </c>
      <c r="Z8" s="19">
        <v>8</v>
      </c>
      <c r="AA8" s="19">
        <v>8</v>
      </c>
      <c r="AB8" s="19">
        <v>16</v>
      </c>
      <c r="AC8" s="19">
        <v>0</v>
      </c>
      <c r="AD8" s="19">
        <v>73</v>
      </c>
      <c r="AE8" s="19">
        <v>61</v>
      </c>
      <c r="AF8" s="19">
        <v>83.56</v>
      </c>
      <c r="AG8" s="19">
        <v>3</v>
      </c>
      <c r="AH8" s="19">
        <v>9</v>
      </c>
      <c r="AI8" s="19">
        <v>12</v>
      </c>
      <c r="AJ8" s="19">
        <v>3</v>
      </c>
      <c r="AK8" s="19">
        <v>2</v>
      </c>
      <c r="AL8" s="19">
        <v>2</v>
      </c>
      <c r="AM8" s="19">
        <v>8</v>
      </c>
      <c r="AN8" s="19">
        <v>8</v>
      </c>
      <c r="AO8" s="19">
        <v>100</v>
      </c>
      <c r="AP8" s="16">
        <v>31</v>
      </c>
      <c r="AQ8" s="16"/>
      <c r="AR8" s="16">
        <v>42</v>
      </c>
      <c r="AS8" s="16"/>
      <c r="AT8" s="16">
        <v>38</v>
      </c>
      <c r="AU8" s="16"/>
      <c r="AV8" s="16">
        <v>32</v>
      </c>
      <c r="AW8" s="16"/>
      <c r="AX8" s="16">
        <v>29</v>
      </c>
      <c r="AY8" s="16"/>
      <c r="AZ8" s="16">
        <v>41</v>
      </c>
      <c r="BA8" s="16"/>
      <c r="BB8" s="16">
        <v>30</v>
      </c>
      <c r="BC8" s="16"/>
      <c r="BD8" s="16">
        <v>38</v>
      </c>
      <c r="BE8" s="16"/>
      <c r="BF8" s="16">
        <v>15</v>
      </c>
      <c r="BG8" s="16">
        <v>10</v>
      </c>
      <c r="BH8" s="16">
        <f t="shared" si="1"/>
        <v>25</v>
      </c>
      <c r="BI8" s="16">
        <v>16</v>
      </c>
      <c r="BJ8" s="16">
        <v>16</v>
      </c>
      <c r="BK8" s="16">
        <f t="shared" si="2"/>
        <v>32</v>
      </c>
      <c r="BL8" s="16">
        <v>6</v>
      </c>
      <c r="BM8" s="16">
        <v>16</v>
      </c>
      <c r="BN8" s="16">
        <v>15</v>
      </c>
      <c r="BO8" s="16">
        <v>12</v>
      </c>
      <c r="BP8" s="16">
        <v>11</v>
      </c>
      <c r="BQ8" s="16">
        <f t="shared" si="3"/>
        <v>60</v>
      </c>
      <c r="BR8" s="16">
        <v>3</v>
      </c>
      <c r="BS8" s="16">
        <v>3</v>
      </c>
      <c r="BT8" s="16">
        <v>28</v>
      </c>
      <c r="BU8" s="16">
        <v>121</v>
      </c>
      <c r="BV8" s="18">
        <f t="shared" si="4"/>
        <v>149</v>
      </c>
      <c r="BW8" s="16">
        <v>24</v>
      </c>
      <c r="BX8" s="16">
        <v>0</v>
      </c>
      <c r="BY8" s="16">
        <v>26</v>
      </c>
      <c r="BZ8" s="16">
        <v>463</v>
      </c>
      <c r="CA8" s="19">
        <v>4</v>
      </c>
      <c r="CB8" s="19">
        <v>6</v>
      </c>
      <c r="CC8" s="19">
        <v>2</v>
      </c>
      <c r="CD8" s="19">
        <v>50</v>
      </c>
      <c r="CE8" s="19">
        <v>97</v>
      </c>
      <c r="CF8" s="19">
        <v>147</v>
      </c>
      <c r="CG8" s="19">
        <v>9</v>
      </c>
      <c r="CH8" s="19">
        <v>8</v>
      </c>
      <c r="CI8" s="19">
        <v>16</v>
      </c>
      <c r="CJ8" s="19">
        <v>0</v>
      </c>
      <c r="CK8" s="19">
        <v>69</v>
      </c>
      <c r="CL8" s="19">
        <v>61</v>
      </c>
      <c r="CM8" s="19">
        <v>88.41</v>
      </c>
      <c r="CN8" s="19">
        <v>8</v>
      </c>
      <c r="CO8" s="19">
        <v>18</v>
      </c>
      <c r="CP8" s="19">
        <v>26</v>
      </c>
      <c r="CQ8" s="19">
        <v>3</v>
      </c>
      <c r="CR8" s="19">
        <v>2</v>
      </c>
      <c r="CS8" s="19">
        <v>2</v>
      </c>
      <c r="CT8" s="19">
        <v>8</v>
      </c>
      <c r="CU8" s="19">
        <v>8</v>
      </c>
      <c r="CV8" s="19">
        <v>100</v>
      </c>
      <c r="CW8" s="19">
        <f t="shared" si="5"/>
        <v>12</v>
      </c>
      <c r="CX8" s="19">
        <f t="shared" si="6"/>
        <v>8</v>
      </c>
      <c r="CY8" s="19">
        <f t="shared" si="7"/>
        <v>0</v>
      </c>
      <c r="CZ8" s="19">
        <f t="shared" si="8"/>
        <v>0</v>
      </c>
    </row>
    <row r="9" spans="1:104" ht="15.75" customHeight="1" x14ac:dyDescent="0.35">
      <c r="A9" s="15" t="s">
        <v>115</v>
      </c>
      <c r="B9" s="16">
        <v>1</v>
      </c>
      <c r="C9" s="15" t="s">
        <v>109</v>
      </c>
      <c r="D9" s="16">
        <v>7</v>
      </c>
      <c r="E9" s="16">
        <v>2</v>
      </c>
      <c r="F9" s="15" t="s">
        <v>106</v>
      </c>
      <c r="G9" s="15" t="s">
        <v>107</v>
      </c>
      <c r="H9" s="15">
        <v>2</v>
      </c>
      <c r="I9" s="15">
        <v>3</v>
      </c>
      <c r="J9" s="17"/>
      <c r="K9" s="16">
        <v>5</v>
      </c>
      <c r="L9" s="16">
        <v>5</v>
      </c>
      <c r="M9" s="16">
        <v>62</v>
      </c>
      <c r="N9" s="16">
        <v>134</v>
      </c>
      <c r="O9" s="18">
        <f t="shared" si="0"/>
        <v>196</v>
      </c>
      <c r="P9" s="16">
        <v>27</v>
      </c>
      <c r="Q9" s="16">
        <v>0</v>
      </c>
      <c r="R9" s="16">
        <v>23</v>
      </c>
      <c r="S9" s="16">
        <v>255</v>
      </c>
      <c r="T9" s="19">
        <v>3</v>
      </c>
      <c r="U9" s="19">
        <v>4</v>
      </c>
      <c r="V9" s="19">
        <v>4</v>
      </c>
      <c r="W9" s="19">
        <v>21</v>
      </c>
      <c r="X9" s="19">
        <v>80</v>
      </c>
      <c r="Y9" s="19">
        <v>101</v>
      </c>
      <c r="Z9" s="19">
        <v>8</v>
      </c>
      <c r="AA9" s="19">
        <v>8</v>
      </c>
      <c r="AB9" s="19">
        <v>16</v>
      </c>
      <c r="AC9" s="19">
        <v>0</v>
      </c>
      <c r="AD9" s="19">
        <v>65</v>
      </c>
      <c r="AE9" s="19">
        <v>61</v>
      </c>
      <c r="AF9" s="19">
        <v>93.85</v>
      </c>
      <c r="AG9" s="19">
        <v>5</v>
      </c>
      <c r="AH9" s="19">
        <v>37</v>
      </c>
      <c r="AI9" s="19">
        <v>42</v>
      </c>
      <c r="AJ9" s="19">
        <v>7</v>
      </c>
      <c r="AK9" s="19">
        <v>4</v>
      </c>
      <c r="AL9" s="19">
        <v>4</v>
      </c>
      <c r="AM9" s="19">
        <v>28</v>
      </c>
      <c r="AN9" s="19">
        <v>26</v>
      </c>
      <c r="AO9" s="22">
        <v>92.86</v>
      </c>
      <c r="AP9" s="15">
        <v>36</v>
      </c>
      <c r="AQ9" s="15">
        <v>3</v>
      </c>
      <c r="AR9" s="15">
        <v>53</v>
      </c>
      <c r="AS9" s="15">
        <v>5</v>
      </c>
      <c r="AT9" s="15">
        <v>42</v>
      </c>
      <c r="AU9" s="15">
        <v>2</v>
      </c>
      <c r="AV9" s="15">
        <v>36</v>
      </c>
      <c r="AW9" s="15">
        <v>1</v>
      </c>
      <c r="AX9" s="15">
        <v>37</v>
      </c>
      <c r="AY9" s="15">
        <v>2</v>
      </c>
      <c r="AZ9" s="15">
        <v>53</v>
      </c>
      <c r="BA9" s="15">
        <v>1</v>
      </c>
      <c r="BB9" s="16">
        <v>49</v>
      </c>
      <c r="BC9" s="16"/>
      <c r="BD9" s="16">
        <v>50</v>
      </c>
      <c r="BE9" s="16"/>
      <c r="BF9" s="16">
        <v>15</v>
      </c>
      <c r="BG9" s="16">
        <v>7</v>
      </c>
      <c r="BH9" s="16">
        <f t="shared" si="1"/>
        <v>22</v>
      </c>
      <c r="BI9" s="16">
        <v>13</v>
      </c>
      <c r="BJ9" s="16">
        <v>19</v>
      </c>
      <c r="BK9" s="16">
        <f t="shared" si="2"/>
        <v>32</v>
      </c>
      <c r="BL9" s="16">
        <v>5</v>
      </c>
      <c r="BM9" s="16">
        <v>10</v>
      </c>
      <c r="BN9" s="16">
        <v>14</v>
      </c>
      <c r="BO9" s="16">
        <v>9</v>
      </c>
      <c r="BP9" s="16">
        <v>8</v>
      </c>
      <c r="BQ9" s="16">
        <f t="shared" si="3"/>
        <v>46</v>
      </c>
      <c r="BR9" s="16">
        <v>4</v>
      </c>
      <c r="BS9" s="16">
        <v>0</v>
      </c>
      <c r="BT9" s="16">
        <v>118</v>
      </c>
      <c r="BU9" s="16">
        <v>99</v>
      </c>
      <c r="BV9" s="18">
        <f t="shared" si="4"/>
        <v>217</v>
      </c>
      <c r="BW9" s="16">
        <v>29</v>
      </c>
      <c r="BX9" s="16">
        <v>2</v>
      </c>
      <c r="BY9" s="16">
        <v>24</v>
      </c>
      <c r="BZ9" s="16">
        <v>300</v>
      </c>
      <c r="CA9" s="22">
        <v>6</v>
      </c>
      <c r="CB9" s="22">
        <v>7</v>
      </c>
      <c r="CC9" s="22">
        <v>6</v>
      </c>
      <c r="CD9" s="22">
        <v>22</v>
      </c>
      <c r="CE9" s="22">
        <v>55</v>
      </c>
      <c r="CF9" s="22">
        <v>77</v>
      </c>
      <c r="CG9" s="22">
        <v>8</v>
      </c>
      <c r="CH9" s="22">
        <v>8</v>
      </c>
      <c r="CI9" s="22">
        <v>16</v>
      </c>
      <c r="CJ9" s="22">
        <v>0</v>
      </c>
      <c r="CK9" s="22">
        <v>61</v>
      </c>
      <c r="CL9" s="22">
        <v>61</v>
      </c>
      <c r="CM9" s="22">
        <v>100</v>
      </c>
      <c r="CN9" s="22">
        <v>7</v>
      </c>
      <c r="CO9" s="22">
        <v>41</v>
      </c>
      <c r="CP9" s="22">
        <v>48</v>
      </c>
      <c r="CQ9" s="22">
        <v>4</v>
      </c>
      <c r="CR9" s="22">
        <v>4</v>
      </c>
      <c r="CS9" s="22">
        <v>2</v>
      </c>
      <c r="CT9" s="22">
        <v>32</v>
      </c>
      <c r="CU9" s="22">
        <v>18</v>
      </c>
      <c r="CV9" s="22">
        <v>56.25</v>
      </c>
      <c r="CW9" s="19">
        <f t="shared" si="5"/>
        <v>4</v>
      </c>
      <c r="CX9" s="19">
        <f t="shared" si="6"/>
        <v>0</v>
      </c>
      <c r="CY9" s="19">
        <f t="shared" si="7"/>
        <v>2</v>
      </c>
      <c r="CZ9" s="19">
        <f t="shared" si="8"/>
        <v>14</v>
      </c>
    </row>
    <row r="10" spans="1:104" ht="15.75" customHeight="1" x14ac:dyDescent="0.35">
      <c r="A10" s="23" t="s">
        <v>116</v>
      </c>
      <c r="B10" s="24">
        <v>1</v>
      </c>
      <c r="C10" s="23" t="s">
        <v>109</v>
      </c>
      <c r="D10" s="24">
        <v>7</v>
      </c>
      <c r="E10" s="24">
        <v>2</v>
      </c>
      <c r="F10" s="23" t="s">
        <v>106</v>
      </c>
      <c r="G10" s="23" t="s">
        <v>107</v>
      </c>
      <c r="H10" s="15">
        <v>2</v>
      </c>
      <c r="I10" s="25">
        <v>3</v>
      </c>
      <c r="J10" s="26"/>
      <c r="K10" s="24">
        <v>4</v>
      </c>
      <c r="L10" s="24">
        <v>4</v>
      </c>
      <c r="M10" s="24">
        <v>103</v>
      </c>
      <c r="N10" s="24">
        <v>131</v>
      </c>
      <c r="O10" s="27">
        <f t="shared" si="0"/>
        <v>234</v>
      </c>
      <c r="P10" s="24">
        <v>33</v>
      </c>
      <c r="Q10" s="24">
        <v>0</v>
      </c>
      <c r="R10" s="24">
        <v>26</v>
      </c>
      <c r="S10" s="24">
        <v>275</v>
      </c>
      <c r="T10" s="28">
        <v>4</v>
      </c>
      <c r="U10" s="28">
        <v>5</v>
      </c>
      <c r="V10" s="28">
        <v>4</v>
      </c>
      <c r="W10" s="28">
        <v>24</v>
      </c>
      <c r="X10" s="28">
        <v>59</v>
      </c>
      <c r="Y10" s="28">
        <v>83</v>
      </c>
      <c r="Z10" s="28">
        <v>8</v>
      </c>
      <c r="AA10" s="28">
        <v>8</v>
      </c>
      <c r="AB10" s="28">
        <v>16</v>
      </c>
      <c r="AC10" s="28">
        <v>0</v>
      </c>
      <c r="AD10" s="28">
        <v>61</v>
      </c>
      <c r="AE10" s="28">
        <v>61</v>
      </c>
      <c r="AF10" s="28">
        <v>100</v>
      </c>
      <c r="AG10" s="28">
        <v>12</v>
      </c>
      <c r="AH10" s="28">
        <v>52</v>
      </c>
      <c r="AI10" s="28">
        <v>64</v>
      </c>
      <c r="AJ10" s="28">
        <v>6</v>
      </c>
      <c r="AK10" s="28">
        <v>5</v>
      </c>
      <c r="AL10" s="28">
        <v>3</v>
      </c>
      <c r="AM10" s="28">
        <v>28</v>
      </c>
      <c r="AN10" s="28">
        <v>28</v>
      </c>
      <c r="AO10" s="29">
        <v>100</v>
      </c>
      <c r="AP10" s="30">
        <v>42</v>
      </c>
      <c r="AQ10" s="30"/>
      <c r="AR10" s="30">
        <v>53</v>
      </c>
      <c r="AS10" s="30"/>
      <c r="AT10" s="30">
        <v>22</v>
      </c>
      <c r="AU10" s="30"/>
      <c r="AV10" s="30">
        <v>33</v>
      </c>
      <c r="AW10" s="30"/>
      <c r="AX10" s="30">
        <v>34</v>
      </c>
      <c r="AY10" s="30"/>
      <c r="AZ10" s="30">
        <v>43</v>
      </c>
      <c r="BA10" s="30"/>
      <c r="BB10" s="30">
        <v>49</v>
      </c>
      <c r="BC10" s="30"/>
      <c r="BD10" s="30">
        <v>45</v>
      </c>
      <c r="BE10" s="30"/>
      <c r="BF10" s="30">
        <v>8</v>
      </c>
      <c r="BG10" s="30">
        <v>6</v>
      </c>
      <c r="BH10" s="30">
        <f t="shared" si="1"/>
        <v>14</v>
      </c>
      <c r="BI10" s="30">
        <v>9</v>
      </c>
      <c r="BJ10" s="30">
        <v>7</v>
      </c>
      <c r="BK10" s="30">
        <f t="shared" si="2"/>
        <v>16</v>
      </c>
      <c r="BL10" s="30">
        <v>4</v>
      </c>
      <c r="BM10" s="30">
        <v>7</v>
      </c>
      <c r="BN10" s="30">
        <v>7</v>
      </c>
      <c r="BO10" s="30">
        <v>9</v>
      </c>
      <c r="BP10" s="30">
        <v>5</v>
      </c>
      <c r="BQ10" s="30">
        <f t="shared" si="3"/>
        <v>32</v>
      </c>
      <c r="BR10" s="30">
        <v>4</v>
      </c>
      <c r="BS10" s="30">
        <v>4</v>
      </c>
      <c r="BT10" s="30">
        <v>59</v>
      </c>
      <c r="BU10" s="30">
        <v>125</v>
      </c>
      <c r="BV10" s="31">
        <f t="shared" si="4"/>
        <v>184</v>
      </c>
      <c r="BW10" s="30">
        <v>24</v>
      </c>
      <c r="BX10" s="30">
        <v>0</v>
      </c>
      <c r="BY10" s="30">
        <v>25</v>
      </c>
      <c r="BZ10" s="30">
        <v>300</v>
      </c>
      <c r="CA10" s="29">
        <v>6</v>
      </c>
      <c r="CB10" s="29">
        <v>8</v>
      </c>
      <c r="CC10" s="29">
        <v>5</v>
      </c>
      <c r="CD10" s="29">
        <v>30</v>
      </c>
      <c r="CE10" s="29">
        <v>104</v>
      </c>
      <c r="CF10" s="29">
        <v>134</v>
      </c>
      <c r="CG10" s="29">
        <v>8</v>
      </c>
      <c r="CH10" s="29">
        <v>8</v>
      </c>
      <c r="CI10" s="29">
        <v>16</v>
      </c>
      <c r="CJ10" s="29">
        <v>0</v>
      </c>
      <c r="CK10" s="29">
        <v>61</v>
      </c>
      <c r="CL10" s="29">
        <v>61</v>
      </c>
      <c r="CM10" s="29">
        <v>100</v>
      </c>
      <c r="CN10" s="29">
        <v>5</v>
      </c>
      <c r="CO10" s="29">
        <v>35</v>
      </c>
      <c r="CP10" s="29">
        <v>40</v>
      </c>
      <c r="CQ10" s="29">
        <v>5</v>
      </c>
      <c r="CR10" s="29">
        <v>3</v>
      </c>
      <c r="CS10" s="29">
        <v>3</v>
      </c>
      <c r="CT10" s="29">
        <v>18</v>
      </c>
      <c r="CU10" s="29">
        <v>18</v>
      </c>
      <c r="CV10" s="29">
        <v>100</v>
      </c>
      <c r="CW10" s="32">
        <f t="shared" si="5"/>
        <v>0</v>
      </c>
      <c r="CX10" s="32">
        <f t="shared" si="6"/>
        <v>0</v>
      </c>
      <c r="CY10" s="32">
        <f t="shared" si="7"/>
        <v>0</v>
      </c>
      <c r="CZ10" s="32">
        <f t="shared" si="8"/>
        <v>0</v>
      </c>
    </row>
    <row r="11" spans="1:104" ht="15.75" customHeight="1" x14ac:dyDescent="0.35">
      <c r="A11" s="15" t="s">
        <v>117</v>
      </c>
      <c r="B11" s="16">
        <v>1</v>
      </c>
      <c r="C11" s="15" t="s">
        <v>105</v>
      </c>
      <c r="D11" s="16">
        <v>7</v>
      </c>
      <c r="E11" s="16">
        <v>1</v>
      </c>
      <c r="F11" s="15" t="s">
        <v>106</v>
      </c>
      <c r="G11" s="15" t="s">
        <v>107</v>
      </c>
      <c r="H11" s="15">
        <v>2</v>
      </c>
      <c r="I11" s="15">
        <v>3</v>
      </c>
      <c r="J11" s="17"/>
      <c r="K11" s="16">
        <v>4</v>
      </c>
      <c r="L11" s="16">
        <v>2</v>
      </c>
      <c r="M11" s="16">
        <v>69</v>
      </c>
      <c r="N11" s="16">
        <v>180</v>
      </c>
      <c r="O11" s="18">
        <f t="shared" si="0"/>
        <v>249</v>
      </c>
      <c r="P11" s="16">
        <v>22</v>
      </c>
      <c r="Q11" s="16">
        <v>2</v>
      </c>
      <c r="R11" s="16">
        <v>13</v>
      </c>
      <c r="S11" s="16">
        <v>348</v>
      </c>
      <c r="T11" s="21">
        <v>2</v>
      </c>
      <c r="U11" s="21">
        <v>4</v>
      </c>
      <c r="V11" s="21">
        <v>1</v>
      </c>
      <c r="W11" s="19">
        <v>91</v>
      </c>
      <c r="X11" s="19">
        <v>401</v>
      </c>
      <c r="Y11" s="19">
        <v>492</v>
      </c>
      <c r="Z11" s="19">
        <v>8</v>
      </c>
      <c r="AA11" s="19">
        <v>10</v>
      </c>
      <c r="AB11" s="19">
        <v>14</v>
      </c>
      <c r="AC11" s="19">
        <v>2</v>
      </c>
      <c r="AD11" s="19">
        <v>79</v>
      </c>
      <c r="AE11" s="19">
        <v>62</v>
      </c>
      <c r="AF11" s="19">
        <v>78.48</v>
      </c>
      <c r="AG11" s="19">
        <v>1</v>
      </c>
      <c r="AH11" s="19">
        <v>25</v>
      </c>
      <c r="AI11" s="19">
        <v>26</v>
      </c>
      <c r="AJ11" s="19">
        <v>3</v>
      </c>
      <c r="AK11" s="19">
        <v>2</v>
      </c>
      <c r="AL11" s="19">
        <v>2</v>
      </c>
      <c r="AM11" s="19">
        <v>10</v>
      </c>
      <c r="AN11" s="19">
        <v>8</v>
      </c>
      <c r="AO11" s="33">
        <v>80</v>
      </c>
      <c r="AP11" s="34">
        <v>16</v>
      </c>
      <c r="AQ11" s="34">
        <v>4</v>
      </c>
      <c r="AR11" s="34">
        <v>14</v>
      </c>
      <c r="AS11" s="34">
        <v>2</v>
      </c>
      <c r="AT11" s="35">
        <v>33</v>
      </c>
      <c r="AU11" s="35"/>
      <c r="AV11" s="35">
        <v>40</v>
      </c>
      <c r="AW11" s="35"/>
      <c r="AX11" s="35">
        <v>44</v>
      </c>
      <c r="AY11" s="35"/>
      <c r="AZ11" s="35">
        <v>57</v>
      </c>
      <c r="BA11" s="35"/>
      <c r="BB11" s="35">
        <v>44</v>
      </c>
      <c r="BC11" s="35"/>
      <c r="BD11" s="35">
        <v>59</v>
      </c>
      <c r="BE11" s="35"/>
      <c r="BF11" s="35">
        <v>8</v>
      </c>
      <c r="BG11" s="35">
        <v>6</v>
      </c>
      <c r="BH11" s="35">
        <f t="shared" si="1"/>
        <v>14</v>
      </c>
      <c r="BI11" s="35">
        <v>10</v>
      </c>
      <c r="BJ11" s="35">
        <v>8</v>
      </c>
      <c r="BK11" s="35">
        <f t="shared" si="2"/>
        <v>18</v>
      </c>
      <c r="BL11" s="35">
        <v>5</v>
      </c>
      <c r="BM11" s="35">
        <v>11</v>
      </c>
      <c r="BN11" s="35">
        <v>10</v>
      </c>
      <c r="BO11" s="35">
        <v>8</v>
      </c>
      <c r="BP11" s="35">
        <v>5</v>
      </c>
      <c r="BQ11" s="35">
        <f t="shared" si="3"/>
        <v>39</v>
      </c>
      <c r="BR11" s="35">
        <v>5</v>
      </c>
      <c r="BS11" s="35">
        <v>4</v>
      </c>
      <c r="BT11" s="35">
        <v>70</v>
      </c>
      <c r="BU11" s="35">
        <v>112</v>
      </c>
      <c r="BV11" s="36">
        <f t="shared" si="4"/>
        <v>182</v>
      </c>
      <c r="BW11" s="35">
        <v>25</v>
      </c>
      <c r="BX11" s="35">
        <v>1</v>
      </c>
      <c r="BY11" s="35">
        <v>26</v>
      </c>
      <c r="BZ11" s="35">
        <v>473</v>
      </c>
      <c r="CA11" s="33">
        <v>3</v>
      </c>
      <c r="CB11" s="33">
        <v>4</v>
      </c>
      <c r="CC11" s="33">
        <v>4</v>
      </c>
      <c r="CD11" s="33">
        <v>55</v>
      </c>
      <c r="CE11" s="33">
        <v>184</v>
      </c>
      <c r="CF11" s="33">
        <v>239</v>
      </c>
      <c r="CG11" s="33">
        <v>8</v>
      </c>
      <c r="CH11" s="33">
        <v>8</v>
      </c>
      <c r="CI11" s="33">
        <v>16</v>
      </c>
      <c r="CJ11" s="33">
        <v>0</v>
      </c>
      <c r="CK11" s="33">
        <v>77</v>
      </c>
      <c r="CL11" s="33">
        <v>61</v>
      </c>
      <c r="CM11" s="33">
        <v>79.22</v>
      </c>
      <c r="CN11" s="33">
        <v>10</v>
      </c>
      <c r="CO11" s="33">
        <v>39</v>
      </c>
      <c r="CP11" s="33">
        <v>49</v>
      </c>
      <c r="CQ11" s="33">
        <v>5</v>
      </c>
      <c r="CR11" s="33">
        <v>3</v>
      </c>
      <c r="CS11" s="33">
        <v>3</v>
      </c>
      <c r="CT11" s="33">
        <v>18</v>
      </c>
      <c r="CU11" s="33">
        <v>18</v>
      </c>
      <c r="CV11" s="33">
        <v>100</v>
      </c>
      <c r="CW11" s="33">
        <f t="shared" si="5"/>
        <v>17</v>
      </c>
      <c r="CX11" s="33">
        <f t="shared" si="6"/>
        <v>16</v>
      </c>
      <c r="CY11" s="33">
        <f t="shared" si="7"/>
        <v>2</v>
      </c>
      <c r="CZ11" s="33">
        <f t="shared" si="8"/>
        <v>0</v>
      </c>
    </row>
    <row r="12" spans="1:104" ht="15.75" customHeight="1" x14ac:dyDescent="0.35">
      <c r="A12" s="15" t="s">
        <v>118</v>
      </c>
      <c r="B12" s="16">
        <v>1</v>
      </c>
      <c r="C12" s="15" t="s">
        <v>105</v>
      </c>
      <c r="D12" s="16">
        <v>7</v>
      </c>
      <c r="E12" s="16">
        <v>1</v>
      </c>
      <c r="F12" s="15" t="s">
        <v>106</v>
      </c>
      <c r="G12" s="15" t="s">
        <v>107</v>
      </c>
      <c r="H12" s="15">
        <v>2</v>
      </c>
      <c r="I12" s="15">
        <v>3</v>
      </c>
      <c r="J12" s="17"/>
      <c r="K12" s="16">
        <v>4</v>
      </c>
      <c r="L12" s="16">
        <v>3</v>
      </c>
      <c r="M12" s="16">
        <v>68</v>
      </c>
      <c r="N12" s="16">
        <v>118</v>
      </c>
      <c r="O12" s="18">
        <f t="shared" si="0"/>
        <v>186</v>
      </c>
      <c r="P12" s="16">
        <v>21</v>
      </c>
      <c r="Q12" s="16">
        <v>1</v>
      </c>
      <c r="R12" s="16">
        <v>22</v>
      </c>
      <c r="S12" s="16">
        <v>336</v>
      </c>
      <c r="T12" s="19">
        <v>3</v>
      </c>
      <c r="U12" s="19">
        <v>4</v>
      </c>
      <c r="V12" s="19">
        <v>2</v>
      </c>
      <c r="W12" s="19">
        <v>39</v>
      </c>
      <c r="X12" s="19">
        <v>163</v>
      </c>
      <c r="Y12" s="19">
        <v>202</v>
      </c>
      <c r="Z12" s="19">
        <v>8</v>
      </c>
      <c r="AA12" s="19">
        <v>8</v>
      </c>
      <c r="AB12" s="19">
        <v>16</v>
      </c>
      <c r="AC12" s="19">
        <v>0</v>
      </c>
      <c r="AD12" s="19">
        <v>67</v>
      </c>
      <c r="AE12" s="19">
        <v>61</v>
      </c>
      <c r="AF12" s="19">
        <v>91.04</v>
      </c>
      <c r="AG12" s="19">
        <v>9</v>
      </c>
      <c r="AH12" s="19">
        <v>81</v>
      </c>
      <c r="AI12" s="19">
        <v>90</v>
      </c>
      <c r="AJ12" s="19">
        <v>5</v>
      </c>
      <c r="AK12" s="19">
        <v>3</v>
      </c>
      <c r="AL12" s="19">
        <v>3</v>
      </c>
      <c r="AM12" s="19">
        <v>23</v>
      </c>
      <c r="AN12" s="19">
        <v>19</v>
      </c>
      <c r="AO12" s="19">
        <v>82.61</v>
      </c>
      <c r="AP12" s="16">
        <v>27</v>
      </c>
      <c r="AQ12" s="16"/>
      <c r="AR12" s="16">
        <v>29</v>
      </c>
      <c r="AS12" s="16"/>
      <c r="AT12" s="16">
        <v>54</v>
      </c>
      <c r="AU12" s="16"/>
      <c r="AV12" s="16">
        <v>42</v>
      </c>
      <c r="AW12" s="16"/>
      <c r="AX12" s="16">
        <v>49</v>
      </c>
      <c r="AY12" s="16"/>
      <c r="AZ12" s="16">
        <v>54</v>
      </c>
      <c r="BA12" s="16"/>
      <c r="BB12" s="16">
        <v>58</v>
      </c>
      <c r="BC12" s="16"/>
      <c r="BD12" s="16">
        <v>60</v>
      </c>
      <c r="BE12" s="16"/>
      <c r="BF12" s="16">
        <v>8</v>
      </c>
      <c r="BG12" s="16">
        <v>5</v>
      </c>
      <c r="BH12" s="16">
        <f t="shared" si="1"/>
        <v>13</v>
      </c>
      <c r="BI12" s="16">
        <v>9</v>
      </c>
      <c r="BJ12" s="16">
        <v>10</v>
      </c>
      <c r="BK12" s="16">
        <f t="shared" si="2"/>
        <v>19</v>
      </c>
      <c r="BL12" s="16">
        <v>4</v>
      </c>
      <c r="BM12" s="16">
        <v>8</v>
      </c>
      <c r="BN12" s="16">
        <v>8</v>
      </c>
      <c r="BO12" s="16">
        <v>6</v>
      </c>
      <c r="BP12" s="16">
        <v>5</v>
      </c>
      <c r="BQ12" s="16">
        <f t="shared" si="3"/>
        <v>31</v>
      </c>
      <c r="BR12" s="16">
        <v>3</v>
      </c>
      <c r="BS12" s="16">
        <v>4</v>
      </c>
      <c r="BT12" s="16">
        <v>211</v>
      </c>
      <c r="BU12" s="16">
        <v>198</v>
      </c>
      <c r="BV12" s="18">
        <f t="shared" si="4"/>
        <v>409</v>
      </c>
      <c r="BW12" s="16">
        <v>29</v>
      </c>
      <c r="BX12" s="16">
        <v>0</v>
      </c>
      <c r="BY12" s="16">
        <v>28</v>
      </c>
      <c r="BZ12" s="16">
        <v>378</v>
      </c>
      <c r="CA12" s="19">
        <v>3</v>
      </c>
      <c r="CB12" s="19">
        <v>5</v>
      </c>
      <c r="CC12" s="19">
        <v>3</v>
      </c>
      <c r="CD12" s="19">
        <v>72</v>
      </c>
      <c r="CE12" s="19">
        <v>111</v>
      </c>
      <c r="CF12" s="19">
        <v>183</v>
      </c>
      <c r="CG12" s="19">
        <v>8</v>
      </c>
      <c r="CH12" s="19">
        <v>8</v>
      </c>
      <c r="CI12" s="19">
        <v>16</v>
      </c>
      <c r="CJ12" s="19">
        <v>0</v>
      </c>
      <c r="CK12" s="19">
        <v>65</v>
      </c>
      <c r="CL12" s="19">
        <v>61</v>
      </c>
      <c r="CM12" s="19">
        <v>93.85</v>
      </c>
      <c r="CN12" s="19">
        <v>4</v>
      </c>
      <c r="CO12" s="19">
        <v>12</v>
      </c>
      <c r="CP12" s="19">
        <v>16</v>
      </c>
      <c r="CQ12" s="19">
        <v>3</v>
      </c>
      <c r="CR12" s="19">
        <v>2</v>
      </c>
      <c r="CS12" s="19">
        <v>2</v>
      </c>
      <c r="CT12" s="19">
        <v>8</v>
      </c>
      <c r="CU12" s="19">
        <v>8</v>
      </c>
      <c r="CV12" s="19">
        <v>100</v>
      </c>
      <c r="CW12" s="19">
        <f t="shared" si="5"/>
        <v>6</v>
      </c>
      <c r="CX12" s="19">
        <f t="shared" si="6"/>
        <v>4</v>
      </c>
      <c r="CY12" s="19">
        <f t="shared" si="7"/>
        <v>4</v>
      </c>
      <c r="CZ12" s="19">
        <f t="shared" si="8"/>
        <v>0</v>
      </c>
    </row>
    <row r="13" spans="1:104" ht="15.75" customHeight="1" x14ac:dyDescent="0.35">
      <c r="A13" s="15" t="s">
        <v>119</v>
      </c>
      <c r="B13" s="16">
        <v>1</v>
      </c>
      <c r="C13" s="15" t="s">
        <v>105</v>
      </c>
      <c r="D13" s="16">
        <v>7</v>
      </c>
      <c r="E13" s="16">
        <v>1</v>
      </c>
      <c r="F13" s="15" t="s">
        <v>106</v>
      </c>
      <c r="G13" s="15" t="s">
        <v>107</v>
      </c>
      <c r="H13" s="15">
        <v>2</v>
      </c>
      <c r="I13" s="15">
        <v>3</v>
      </c>
      <c r="J13" s="17"/>
      <c r="K13" s="16">
        <v>0</v>
      </c>
      <c r="L13" s="16">
        <v>0</v>
      </c>
      <c r="M13" s="16">
        <v>21</v>
      </c>
      <c r="N13" s="16">
        <v>127</v>
      </c>
      <c r="O13" s="18">
        <f t="shared" si="0"/>
        <v>148</v>
      </c>
      <c r="P13" s="16">
        <v>18</v>
      </c>
      <c r="Q13" s="16">
        <v>5</v>
      </c>
      <c r="R13" s="16">
        <v>17</v>
      </c>
      <c r="S13" s="16">
        <v>395</v>
      </c>
      <c r="T13" s="19">
        <v>2</v>
      </c>
      <c r="U13" s="19">
        <v>4</v>
      </c>
      <c r="V13" s="19">
        <v>1</v>
      </c>
      <c r="W13" s="19">
        <v>52</v>
      </c>
      <c r="X13" s="19">
        <v>188</v>
      </c>
      <c r="Y13" s="19">
        <v>240</v>
      </c>
      <c r="Z13" s="19">
        <v>8</v>
      </c>
      <c r="AA13" s="19">
        <v>8</v>
      </c>
      <c r="AB13" s="19">
        <v>16</v>
      </c>
      <c r="AC13" s="19">
        <v>0</v>
      </c>
      <c r="AD13" s="19">
        <v>67</v>
      </c>
      <c r="AE13" s="19">
        <v>61</v>
      </c>
      <c r="AF13" s="19">
        <v>91.04</v>
      </c>
      <c r="AG13" s="19">
        <v>43</v>
      </c>
      <c r="AH13" s="19">
        <v>95</v>
      </c>
      <c r="AI13" s="19">
        <v>138</v>
      </c>
      <c r="AJ13" s="19">
        <v>9</v>
      </c>
      <c r="AK13" s="19">
        <v>8</v>
      </c>
      <c r="AL13" s="19">
        <v>4</v>
      </c>
      <c r="AM13" s="19">
        <v>43</v>
      </c>
      <c r="AN13" s="19">
        <v>43</v>
      </c>
      <c r="AO13" s="19">
        <v>100</v>
      </c>
      <c r="AP13" s="15">
        <v>15</v>
      </c>
      <c r="AQ13" s="15">
        <v>4</v>
      </c>
      <c r="AR13" s="15">
        <v>11</v>
      </c>
      <c r="AS13" s="15">
        <v>5</v>
      </c>
      <c r="AT13" s="16">
        <v>37</v>
      </c>
      <c r="AU13" s="16"/>
      <c r="AV13" s="16">
        <v>32</v>
      </c>
      <c r="AW13" s="16"/>
      <c r="AX13" s="16">
        <v>29</v>
      </c>
      <c r="AY13" s="16"/>
      <c r="AZ13" s="16">
        <v>43</v>
      </c>
      <c r="BA13" s="16"/>
      <c r="BB13" s="16">
        <v>35</v>
      </c>
      <c r="BC13" s="16"/>
      <c r="BD13" s="16">
        <v>48</v>
      </c>
      <c r="BE13" s="16"/>
      <c r="BF13" s="16">
        <v>9</v>
      </c>
      <c r="BG13" s="16">
        <v>7</v>
      </c>
      <c r="BH13" s="16">
        <f t="shared" si="1"/>
        <v>16</v>
      </c>
      <c r="BI13" s="16">
        <v>12</v>
      </c>
      <c r="BJ13" s="16">
        <v>8</v>
      </c>
      <c r="BK13" s="16">
        <f t="shared" si="2"/>
        <v>20</v>
      </c>
      <c r="BL13" s="16">
        <v>10</v>
      </c>
      <c r="BM13" s="16">
        <v>22</v>
      </c>
      <c r="BN13" s="16">
        <v>14</v>
      </c>
      <c r="BO13" s="16">
        <v>16</v>
      </c>
      <c r="BP13" s="16">
        <v>9</v>
      </c>
      <c r="BQ13" s="16">
        <f t="shared" si="3"/>
        <v>71</v>
      </c>
      <c r="BR13" s="16">
        <v>3</v>
      </c>
      <c r="BS13" s="16">
        <v>0</v>
      </c>
      <c r="BT13" s="16">
        <v>27</v>
      </c>
      <c r="BU13" s="16">
        <v>89</v>
      </c>
      <c r="BV13" s="18">
        <f t="shared" si="4"/>
        <v>116</v>
      </c>
      <c r="BW13" s="16">
        <v>25</v>
      </c>
      <c r="BX13" s="16">
        <v>0</v>
      </c>
      <c r="BY13" s="16">
        <v>10</v>
      </c>
      <c r="BZ13" s="16">
        <v>315</v>
      </c>
      <c r="CA13" s="19">
        <v>2</v>
      </c>
      <c r="CB13" s="19">
        <v>4</v>
      </c>
      <c r="CC13" s="19">
        <v>1</v>
      </c>
      <c r="CD13" s="19">
        <v>97</v>
      </c>
      <c r="CE13" s="19">
        <v>611</v>
      </c>
      <c r="CF13" s="19">
        <v>708</v>
      </c>
      <c r="CG13" s="19">
        <v>8</v>
      </c>
      <c r="CH13" s="19">
        <v>8</v>
      </c>
      <c r="CI13" s="19">
        <v>16</v>
      </c>
      <c r="CJ13" s="19">
        <v>0</v>
      </c>
      <c r="CK13" s="19">
        <v>93</v>
      </c>
      <c r="CL13" s="19">
        <v>61</v>
      </c>
      <c r="CM13" s="19">
        <v>65.59</v>
      </c>
      <c r="CN13" s="19">
        <v>30</v>
      </c>
      <c r="CO13" s="19">
        <v>186</v>
      </c>
      <c r="CP13" s="19">
        <v>216</v>
      </c>
      <c r="CQ13" s="19">
        <v>7</v>
      </c>
      <c r="CR13" s="19">
        <v>7</v>
      </c>
      <c r="CS13" s="19">
        <v>3</v>
      </c>
      <c r="CT13" s="19">
        <v>44</v>
      </c>
      <c r="CU13" s="19">
        <v>38</v>
      </c>
      <c r="CV13" s="19">
        <v>86.36</v>
      </c>
      <c r="CW13" s="19">
        <f t="shared" si="5"/>
        <v>6</v>
      </c>
      <c r="CX13" s="19">
        <f t="shared" si="6"/>
        <v>32</v>
      </c>
      <c r="CY13" s="19">
        <f t="shared" si="7"/>
        <v>0</v>
      </c>
      <c r="CZ13" s="19">
        <f t="shared" si="8"/>
        <v>6</v>
      </c>
    </row>
    <row r="14" spans="1:104" ht="15.75" customHeight="1" x14ac:dyDescent="0.35">
      <c r="A14" s="15" t="s">
        <v>120</v>
      </c>
      <c r="B14" s="16">
        <v>1</v>
      </c>
      <c r="C14" s="15" t="s">
        <v>105</v>
      </c>
      <c r="D14" s="16">
        <v>7</v>
      </c>
      <c r="E14" s="16">
        <v>1</v>
      </c>
      <c r="F14" s="15" t="s">
        <v>106</v>
      </c>
      <c r="G14" s="15" t="s">
        <v>107</v>
      </c>
      <c r="H14" s="15">
        <v>2</v>
      </c>
      <c r="I14" s="15">
        <v>3</v>
      </c>
      <c r="J14" s="17"/>
      <c r="K14" s="16">
        <v>4</v>
      </c>
      <c r="L14" s="16">
        <v>0</v>
      </c>
      <c r="M14" s="16">
        <v>79</v>
      </c>
      <c r="N14" s="16">
        <v>82</v>
      </c>
      <c r="O14" s="18">
        <f t="shared" si="0"/>
        <v>161</v>
      </c>
      <c r="P14" s="16">
        <v>23</v>
      </c>
      <c r="Q14" s="16">
        <v>3</v>
      </c>
      <c r="R14" s="16">
        <v>16</v>
      </c>
      <c r="S14" s="16">
        <v>355</v>
      </c>
      <c r="T14" s="21">
        <v>1</v>
      </c>
      <c r="U14" s="21">
        <v>2</v>
      </c>
      <c r="V14" s="21">
        <v>0</v>
      </c>
      <c r="W14" s="19">
        <v>36</v>
      </c>
      <c r="X14" s="19">
        <v>224</v>
      </c>
      <c r="Y14" s="19">
        <v>260</v>
      </c>
      <c r="Z14" s="19">
        <v>8</v>
      </c>
      <c r="AA14" s="19">
        <v>8</v>
      </c>
      <c r="AB14" s="19">
        <v>16</v>
      </c>
      <c r="AC14" s="19">
        <v>0</v>
      </c>
      <c r="AD14" s="19">
        <v>65</v>
      </c>
      <c r="AE14" s="19">
        <v>61</v>
      </c>
      <c r="AF14" s="19">
        <v>93.85</v>
      </c>
      <c r="AG14" s="19">
        <v>6</v>
      </c>
      <c r="AH14" s="19">
        <v>38</v>
      </c>
      <c r="AI14" s="19">
        <v>44</v>
      </c>
      <c r="AJ14" s="19">
        <v>3</v>
      </c>
      <c r="AK14" s="19">
        <v>2</v>
      </c>
      <c r="AL14" s="19">
        <v>2</v>
      </c>
      <c r="AM14" s="19">
        <v>10</v>
      </c>
      <c r="AN14" s="19">
        <v>8</v>
      </c>
      <c r="AO14" s="19">
        <v>80</v>
      </c>
      <c r="AP14" s="16">
        <v>19</v>
      </c>
      <c r="AQ14" s="16"/>
      <c r="AR14" s="15">
        <v>15</v>
      </c>
      <c r="AS14" s="15">
        <v>1</v>
      </c>
      <c r="AT14" s="16">
        <v>24</v>
      </c>
      <c r="AU14" s="16"/>
      <c r="AV14" s="16">
        <v>38</v>
      </c>
      <c r="AW14" s="16"/>
      <c r="AX14" s="16">
        <v>34</v>
      </c>
      <c r="AY14" s="16"/>
      <c r="AZ14" s="16">
        <v>37</v>
      </c>
      <c r="BA14" s="16"/>
      <c r="BB14" s="16">
        <v>37</v>
      </c>
      <c r="BC14" s="16"/>
      <c r="BD14" s="16">
        <v>52</v>
      </c>
      <c r="BE14" s="16"/>
      <c r="BF14" s="16">
        <v>8</v>
      </c>
      <c r="BG14" s="16">
        <v>7</v>
      </c>
      <c r="BH14" s="16">
        <f t="shared" si="1"/>
        <v>15</v>
      </c>
      <c r="BI14" s="16">
        <v>15</v>
      </c>
      <c r="BJ14" s="16">
        <v>8</v>
      </c>
      <c r="BK14" s="16">
        <f t="shared" si="2"/>
        <v>23</v>
      </c>
      <c r="BL14" s="16">
        <v>10</v>
      </c>
      <c r="BM14" s="16">
        <v>22</v>
      </c>
      <c r="BN14" s="16">
        <v>15</v>
      </c>
      <c r="BO14" s="16">
        <v>18</v>
      </c>
      <c r="BP14" s="16">
        <v>11</v>
      </c>
      <c r="BQ14" s="16">
        <f t="shared" si="3"/>
        <v>76</v>
      </c>
      <c r="BR14" s="16">
        <v>3</v>
      </c>
      <c r="BS14" s="16">
        <v>0</v>
      </c>
      <c r="BT14" s="16">
        <v>64</v>
      </c>
      <c r="BU14" s="16">
        <v>146</v>
      </c>
      <c r="BV14" s="16">
        <v>210</v>
      </c>
      <c r="BW14" s="16">
        <v>24</v>
      </c>
      <c r="BX14" s="16">
        <v>0</v>
      </c>
      <c r="BY14" s="16">
        <v>17</v>
      </c>
      <c r="BZ14" s="16">
        <v>390</v>
      </c>
      <c r="CA14" s="19">
        <v>2</v>
      </c>
      <c r="CB14" s="19">
        <v>3</v>
      </c>
      <c r="CC14" s="19">
        <v>2</v>
      </c>
      <c r="CD14" s="19">
        <v>72</v>
      </c>
      <c r="CE14" s="19">
        <v>296</v>
      </c>
      <c r="CF14" s="19">
        <v>368</v>
      </c>
      <c r="CG14" s="19">
        <v>8</v>
      </c>
      <c r="CH14" s="19">
        <v>8</v>
      </c>
      <c r="CI14" s="19">
        <v>16</v>
      </c>
      <c r="CJ14" s="19">
        <v>0</v>
      </c>
      <c r="CK14" s="19">
        <v>73</v>
      </c>
      <c r="CL14" s="19">
        <v>61</v>
      </c>
      <c r="CM14" s="19">
        <v>83.56</v>
      </c>
      <c r="CN14" s="19">
        <v>31</v>
      </c>
      <c r="CO14" s="19">
        <v>96</v>
      </c>
      <c r="CP14" s="19">
        <v>127</v>
      </c>
      <c r="CQ14" s="19">
        <v>8</v>
      </c>
      <c r="CR14" s="19">
        <v>6</v>
      </c>
      <c r="CS14" s="19">
        <v>4</v>
      </c>
      <c r="CT14" s="19">
        <v>38</v>
      </c>
      <c r="CU14" s="19">
        <v>38</v>
      </c>
      <c r="CV14" s="19">
        <v>100</v>
      </c>
      <c r="CW14" s="19">
        <f t="shared" si="5"/>
        <v>4</v>
      </c>
      <c r="CX14" s="19">
        <f t="shared" si="6"/>
        <v>12</v>
      </c>
      <c r="CY14" s="19">
        <f t="shared" si="7"/>
        <v>2</v>
      </c>
      <c r="CZ14" s="19">
        <f t="shared" si="8"/>
        <v>0</v>
      </c>
    </row>
    <row r="15" spans="1:104" ht="15.75" customHeight="1" x14ac:dyDescent="0.35">
      <c r="A15" s="15" t="s">
        <v>121</v>
      </c>
      <c r="B15" s="16">
        <v>1</v>
      </c>
      <c r="C15" s="15" t="s">
        <v>105</v>
      </c>
      <c r="D15" s="16">
        <v>6</v>
      </c>
      <c r="E15" s="16">
        <v>1</v>
      </c>
      <c r="F15" s="15" t="s">
        <v>106</v>
      </c>
      <c r="G15" s="15" t="s">
        <v>107</v>
      </c>
      <c r="H15" s="15">
        <v>2</v>
      </c>
      <c r="I15" s="15">
        <v>1</v>
      </c>
      <c r="J15" s="17"/>
      <c r="K15" s="16">
        <v>4</v>
      </c>
      <c r="L15" s="16">
        <v>5</v>
      </c>
      <c r="M15" s="16">
        <v>70</v>
      </c>
      <c r="N15" s="16">
        <v>136</v>
      </c>
      <c r="O15" s="18">
        <f t="shared" si="0"/>
        <v>206</v>
      </c>
      <c r="P15" s="16">
        <v>27</v>
      </c>
      <c r="Q15" s="16">
        <v>1</v>
      </c>
      <c r="R15" s="16">
        <v>23</v>
      </c>
      <c r="S15" s="16">
        <v>373</v>
      </c>
      <c r="T15" s="21">
        <v>1</v>
      </c>
      <c r="U15" s="21">
        <v>2</v>
      </c>
      <c r="V15" s="21">
        <v>0</v>
      </c>
      <c r="W15" s="19">
        <v>40</v>
      </c>
      <c r="X15" s="19">
        <v>212</v>
      </c>
      <c r="Y15" s="19">
        <v>252</v>
      </c>
      <c r="Z15" s="19">
        <v>8</v>
      </c>
      <c r="AA15" s="19">
        <v>8</v>
      </c>
      <c r="AB15" s="19">
        <v>16</v>
      </c>
      <c r="AC15" s="19">
        <v>0</v>
      </c>
      <c r="AD15" s="19">
        <v>87</v>
      </c>
      <c r="AE15" s="19">
        <v>61</v>
      </c>
      <c r="AF15" s="19">
        <v>70.11</v>
      </c>
      <c r="AG15" s="19">
        <v>11</v>
      </c>
      <c r="AH15" s="19">
        <v>61</v>
      </c>
      <c r="AI15" s="19">
        <v>72</v>
      </c>
      <c r="AJ15" s="19">
        <v>7</v>
      </c>
      <c r="AK15" s="19">
        <v>7</v>
      </c>
      <c r="AL15" s="19">
        <v>3</v>
      </c>
      <c r="AM15" s="19">
        <v>40</v>
      </c>
      <c r="AN15" s="19">
        <v>38</v>
      </c>
      <c r="AO15" s="19">
        <v>95</v>
      </c>
      <c r="AP15" s="16">
        <v>21</v>
      </c>
      <c r="AQ15" s="16"/>
      <c r="AR15" s="15">
        <v>13</v>
      </c>
      <c r="AS15" s="15">
        <v>2</v>
      </c>
      <c r="AT15" s="16">
        <v>40</v>
      </c>
      <c r="AU15" s="16"/>
      <c r="AV15" s="16">
        <v>42</v>
      </c>
      <c r="AW15" s="16"/>
      <c r="AX15" s="16">
        <v>36</v>
      </c>
      <c r="AY15" s="16"/>
      <c r="AZ15" s="16">
        <v>53</v>
      </c>
      <c r="BA15" s="16"/>
      <c r="BB15" s="16">
        <v>58</v>
      </c>
      <c r="BC15" s="16"/>
      <c r="BD15" s="16">
        <v>56</v>
      </c>
      <c r="BE15" s="16"/>
      <c r="BF15" s="16">
        <v>8</v>
      </c>
      <c r="BG15" s="16">
        <v>5</v>
      </c>
      <c r="BH15" s="16">
        <f t="shared" si="1"/>
        <v>13</v>
      </c>
      <c r="BI15" s="16">
        <v>10</v>
      </c>
      <c r="BJ15" s="16">
        <v>8</v>
      </c>
      <c r="BK15" s="16">
        <f t="shared" si="2"/>
        <v>18</v>
      </c>
      <c r="BL15" s="16">
        <v>7</v>
      </c>
      <c r="BM15" s="16">
        <v>12</v>
      </c>
      <c r="BN15" s="16">
        <v>10</v>
      </c>
      <c r="BO15" s="16">
        <v>9</v>
      </c>
      <c r="BP15" s="16">
        <v>7</v>
      </c>
      <c r="BQ15" s="16">
        <f t="shared" si="3"/>
        <v>45</v>
      </c>
      <c r="BR15" s="16">
        <v>4</v>
      </c>
      <c r="BS15" s="16">
        <v>0</v>
      </c>
      <c r="BT15" s="16">
        <v>31</v>
      </c>
      <c r="BU15" s="16">
        <v>87</v>
      </c>
      <c r="BV15" s="18">
        <f>SUM(BT15,BU15)</f>
        <v>118</v>
      </c>
      <c r="BW15" s="16">
        <v>24</v>
      </c>
      <c r="BX15" s="16">
        <v>0</v>
      </c>
      <c r="BY15" s="16">
        <v>23</v>
      </c>
      <c r="BZ15" s="16">
        <v>356</v>
      </c>
      <c r="CA15" s="19">
        <v>1</v>
      </c>
      <c r="CB15" s="19">
        <v>2</v>
      </c>
      <c r="CC15" s="19">
        <v>0</v>
      </c>
      <c r="CD15" s="19">
        <v>52</v>
      </c>
      <c r="CE15" s="19">
        <v>294</v>
      </c>
      <c r="CF15" s="19">
        <v>346</v>
      </c>
      <c r="CG15" s="19">
        <v>8</v>
      </c>
      <c r="CH15" s="19">
        <v>8</v>
      </c>
      <c r="CI15" s="19">
        <v>16</v>
      </c>
      <c r="CJ15" s="19">
        <v>0</v>
      </c>
      <c r="CK15" s="19">
        <v>91</v>
      </c>
      <c r="CL15" s="19">
        <v>61</v>
      </c>
      <c r="CM15" s="19">
        <v>67.03</v>
      </c>
      <c r="CN15" s="19">
        <v>11</v>
      </c>
      <c r="CO15" s="19">
        <v>59</v>
      </c>
      <c r="CP15" s="19">
        <v>70</v>
      </c>
      <c r="CQ15" s="19">
        <v>4</v>
      </c>
      <c r="CR15" s="19">
        <v>4</v>
      </c>
      <c r="CS15" s="19">
        <v>2</v>
      </c>
      <c r="CT15" s="19">
        <v>28</v>
      </c>
      <c r="CU15" s="19">
        <v>18</v>
      </c>
      <c r="CV15" s="19">
        <v>64.290000000000006</v>
      </c>
      <c r="CW15" s="19">
        <f t="shared" si="5"/>
        <v>26</v>
      </c>
      <c r="CX15" s="19">
        <f t="shared" si="6"/>
        <v>30</v>
      </c>
      <c r="CY15" s="19">
        <f t="shared" si="7"/>
        <v>2</v>
      </c>
      <c r="CZ15" s="19">
        <f t="shared" si="8"/>
        <v>10</v>
      </c>
    </row>
    <row r="16" spans="1:104" ht="15.75" customHeight="1" x14ac:dyDescent="0.35">
      <c r="A16" s="15" t="s">
        <v>122</v>
      </c>
      <c r="B16" s="16">
        <v>1</v>
      </c>
      <c r="C16" s="15" t="s">
        <v>109</v>
      </c>
      <c r="D16" s="16">
        <v>5</v>
      </c>
      <c r="E16" s="15">
        <v>0</v>
      </c>
      <c r="F16" s="15" t="s">
        <v>123</v>
      </c>
      <c r="G16" s="15" t="s">
        <v>107</v>
      </c>
      <c r="H16" s="15">
        <v>1</v>
      </c>
      <c r="I16" s="15">
        <v>1</v>
      </c>
      <c r="J16" s="17"/>
      <c r="K16" s="16">
        <v>0</v>
      </c>
      <c r="L16" s="16">
        <v>0</v>
      </c>
      <c r="M16" s="16">
        <v>92</v>
      </c>
      <c r="N16" s="16">
        <v>172</v>
      </c>
      <c r="O16" s="16">
        <v>264</v>
      </c>
      <c r="P16" s="16">
        <v>18</v>
      </c>
      <c r="Q16" s="16">
        <v>6</v>
      </c>
      <c r="R16" s="16">
        <v>10</v>
      </c>
      <c r="S16" s="16">
        <v>391</v>
      </c>
      <c r="T16" s="21">
        <v>2</v>
      </c>
      <c r="U16" s="21">
        <v>4</v>
      </c>
      <c r="V16" s="21">
        <v>1</v>
      </c>
      <c r="W16" s="19">
        <v>91</v>
      </c>
      <c r="X16" s="19">
        <v>401</v>
      </c>
      <c r="Y16" s="19">
        <v>492</v>
      </c>
      <c r="Z16" s="19">
        <v>8</v>
      </c>
      <c r="AA16" s="19">
        <v>10</v>
      </c>
      <c r="AB16" s="19">
        <v>14</v>
      </c>
      <c r="AC16" s="19">
        <v>2</v>
      </c>
      <c r="AD16" s="19">
        <v>79</v>
      </c>
      <c r="AE16" s="19">
        <v>62</v>
      </c>
      <c r="AF16" s="19">
        <v>78.48</v>
      </c>
      <c r="AG16" s="19">
        <v>1</v>
      </c>
      <c r="AH16" s="19">
        <v>25</v>
      </c>
      <c r="AI16" s="19">
        <v>26</v>
      </c>
      <c r="AJ16" s="19">
        <v>3</v>
      </c>
      <c r="AK16" s="19">
        <v>2</v>
      </c>
      <c r="AL16" s="19">
        <v>2</v>
      </c>
      <c r="AM16" s="19">
        <v>10</v>
      </c>
      <c r="AN16" s="19">
        <v>8</v>
      </c>
      <c r="AO16" s="19">
        <v>80</v>
      </c>
      <c r="AP16" s="15">
        <v>19</v>
      </c>
      <c r="AQ16" s="15">
        <v>4</v>
      </c>
      <c r="AR16" s="15">
        <v>10</v>
      </c>
      <c r="AS16" s="15">
        <v>1</v>
      </c>
      <c r="AT16" s="16">
        <v>23</v>
      </c>
      <c r="AU16" s="16"/>
      <c r="AV16" s="15">
        <v>26</v>
      </c>
      <c r="AW16" s="15">
        <v>2</v>
      </c>
      <c r="AX16" s="15">
        <v>30</v>
      </c>
      <c r="AY16" s="15">
        <v>2</v>
      </c>
      <c r="AZ16" s="16">
        <v>33</v>
      </c>
      <c r="BA16" s="16"/>
      <c r="BB16" s="16">
        <v>36</v>
      </c>
      <c r="BC16" s="16"/>
      <c r="BD16" s="15">
        <v>34</v>
      </c>
      <c r="BE16" s="16">
        <v>1</v>
      </c>
      <c r="BF16" s="16">
        <v>14</v>
      </c>
      <c r="BG16" s="16">
        <v>9</v>
      </c>
      <c r="BH16" s="16">
        <v>23</v>
      </c>
      <c r="BI16" s="16">
        <v>12</v>
      </c>
      <c r="BJ16" s="16">
        <v>14</v>
      </c>
      <c r="BK16" s="16">
        <v>26</v>
      </c>
      <c r="BL16" s="16">
        <v>8</v>
      </c>
      <c r="BM16" s="16">
        <v>15</v>
      </c>
      <c r="BN16" s="16">
        <v>12</v>
      </c>
      <c r="BO16" s="16">
        <v>11</v>
      </c>
      <c r="BP16" s="16">
        <v>7</v>
      </c>
      <c r="BQ16" s="16">
        <v>53</v>
      </c>
      <c r="BR16" s="16">
        <v>3</v>
      </c>
      <c r="BS16" s="16">
        <v>3</v>
      </c>
      <c r="BT16" s="16">
        <v>76</v>
      </c>
      <c r="BU16" s="16">
        <v>181</v>
      </c>
      <c r="BV16" s="16">
        <v>257</v>
      </c>
      <c r="BW16" s="16">
        <v>20</v>
      </c>
      <c r="BX16" s="16">
        <v>9</v>
      </c>
      <c r="BY16" s="16">
        <v>7</v>
      </c>
      <c r="BZ16" s="16">
        <v>380</v>
      </c>
      <c r="CA16" s="19">
        <v>2</v>
      </c>
      <c r="CB16" s="19">
        <v>3</v>
      </c>
      <c r="CC16" s="19">
        <v>2</v>
      </c>
      <c r="CD16" s="19">
        <v>158</v>
      </c>
      <c r="CE16" s="19">
        <v>406</v>
      </c>
      <c r="CF16" s="19">
        <v>564</v>
      </c>
      <c r="CG16" s="19">
        <v>8</v>
      </c>
      <c r="CH16" s="19">
        <v>8</v>
      </c>
      <c r="CI16" s="19">
        <v>16</v>
      </c>
      <c r="CJ16" s="19">
        <v>0</v>
      </c>
      <c r="CK16" s="19">
        <v>63</v>
      </c>
      <c r="CL16" s="19">
        <v>61</v>
      </c>
      <c r="CM16" s="19">
        <v>96.83</v>
      </c>
      <c r="CN16" s="19">
        <v>114</v>
      </c>
      <c r="CO16" s="19">
        <v>207</v>
      </c>
      <c r="CP16" s="19">
        <v>321</v>
      </c>
      <c r="CQ16" s="19">
        <v>9</v>
      </c>
      <c r="CR16" s="19">
        <v>15</v>
      </c>
      <c r="CS16" s="19">
        <v>1</v>
      </c>
      <c r="CT16" s="19">
        <v>8</v>
      </c>
      <c r="CU16" s="19">
        <v>73</v>
      </c>
      <c r="CV16" s="19">
        <v>912.5</v>
      </c>
      <c r="CW16" s="19">
        <f t="shared" si="5"/>
        <v>17</v>
      </c>
      <c r="CX16" s="19">
        <f t="shared" si="6"/>
        <v>2</v>
      </c>
      <c r="CY16" s="19">
        <f t="shared" si="7"/>
        <v>2</v>
      </c>
      <c r="CZ16" s="37">
        <f t="shared" si="8"/>
        <v>-65</v>
      </c>
    </row>
    <row r="17" spans="1:104" ht="15.75" customHeight="1" x14ac:dyDescent="0.35">
      <c r="A17" s="15" t="s">
        <v>124</v>
      </c>
      <c r="B17" s="16">
        <v>1</v>
      </c>
      <c r="C17" s="15" t="s">
        <v>105</v>
      </c>
      <c r="D17" s="16">
        <v>5</v>
      </c>
      <c r="E17" s="15">
        <v>0</v>
      </c>
      <c r="F17" s="15" t="s">
        <v>123</v>
      </c>
      <c r="G17" s="15" t="s">
        <v>107</v>
      </c>
      <c r="H17" s="15">
        <v>1</v>
      </c>
      <c r="I17" s="15">
        <v>1</v>
      </c>
      <c r="J17" s="17"/>
      <c r="K17" s="16">
        <v>3</v>
      </c>
      <c r="L17" s="16">
        <v>0</v>
      </c>
      <c r="M17" s="16">
        <v>75</v>
      </c>
      <c r="N17" s="16">
        <v>178</v>
      </c>
      <c r="O17" s="16">
        <v>253</v>
      </c>
      <c r="P17" s="16">
        <v>23</v>
      </c>
      <c r="Q17" s="16">
        <v>4</v>
      </c>
      <c r="R17" s="16">
        <v>16</v>
      </c>
      <c r="S17" s="16">
        <v>375</v>
      </c>
      <c r="T17" s="19">
        <v>1</v>
      </c>
      <c r="U17" s="19">
        <v>2</v>
      </c>
      <c r="V17" s="19">
        <v>0</v>
      </c>
      <c r="W17" s="19">
        <v>63</v>
      </c>
      <c r="X17" s="19">
        <v>286</v>
      </c>
      <c r="Y17" s="19">
        <v>349</v>
      </c>
      <c r="Z17" s="19">
        <v>8</v>
      </c>
      <c r="AA17" s="19">
        <v>8</v>
      </c>
      <c r="AB17" s="19">
        <v>16</v>
      </c>
      <c r="AC17" s="19">
        <v>0</v>
      </c>
      <c r="AD17" s="19">
        <v>73</v>
      </c>
      <c r="AE17" s="19">
        <v>61</v>
      </c>
      <c r="AF17" s="19">
        <v>83.56</v>
      </c>
      <c r="AG17" s="19">
        <v>49</v>
      </c>
      <c r="AH17" s="19">
        <v>47</v>
      </c>
      <c r="AI17" s="19">
        <v>96</v>
      </c>
      <c r="AJ17" s="19">
        <v>5</v>
      </c>
      <c r="AK17" s="19">
        <v>3</v>
      </c>
      <c r="AL17" s="19">
        <v>3</v>
      </c>
      <c r="AM17" s="19">
        <v>24</v>
      </c>
      <c r="AN17" s="19">
        <v>18</v>
      </c>
      <c r="AO17" s="19">
        <v>75</v>
      </c>
      <c r="AP17" s="15">
        <v>26</v>
      </c>
      <c r="AQ17" s="15">
        <v>5</v>
      </c>
      <c r="AR17" s="15">
        <v>24</v>
      </c>
      <c r="AS17" s="15">
        <v>1</v>
      </c>
      <c r="AT17" s="15">
        <v>48</v>
      </c>
      <c r="AU17" s="15">
        <v>3</v>
      </c>
      <c r="AV17" s="15">
        <v>39</v>
      </c>
      <c r="AW17" s="15">
        <v>3</v>
      </c>
      <c r="AX17" s="15">
        <v>45</v>
      </c>
      <c r="AY17" s="15">
        <v>2</v>
      </c>
      <c r="AZ17" s="15">
        <v>48</v>
      </c>
      <c r="BA17" s="15">
        <v>3</v>
      </c>
      <c r="BB17" s="15">
        <v>59</v>
      </c>
      <c r="BC17" s="15">
        <v>1</v>
      </c>
      <c r="BD17" s="16">
        <v>58</v>
      </c>
      <c r="BE17" s="16"/>
      <c r="BF17" s="16">
        <v>8</v>
      </c>
      <c r="BG17" s="16">
        <v>4</v>
      </c>
      <c r="BH17" s="16">
        <v>12</v>
      </c>
      <c r="BI17" s="16">
        <v>8</v>
      </c>
      <c r="BJ17" s="16">
        <v>8</v>
      </c>
      <c r="BK17" s="16">
        <v>16</v>
      </c>
      <c r="BL17" s="16">
        <v>4</v>
      </c>
      <c r="BM17" s="16">
        <v>10</v>
      </c>
      <c r="BN17" s="16">
        <v>8</v>
      </c>
      <c r="BO17" s="16">
        <v>6</v>
      </c>
      <c r="BP17" s="16">
        <v>5</v>
      </c>
      <c r="BQ17" s="16">
        <v>33</v>
      </c>
      <c r="BR17" s="16">
        <v>3</v>
      </c>
      <c r="BS17" s="16">
        <v>4</v>
      </c>
      <c r="BT17" s="16">
        <v>42</v>
      </c>
      <c r="BU17" s="16">
        <v>154</v>
      </c>
      <c r="BV17" s="16">
        <v>196</v>
      </c>
      <c r="BW17" s="16">
        <v>29</v>
      </c>
      <c r="BX17" s="16">
        <v>0</v>
      </c>
      <c r="BY17" s="16">
        <v>20</v>
      </c>
      <c r="BZ17" s="16">
        <v>288</v>
      </c>
      <c r="CA17" s="19">
        <v>2</v>
      </c>
      <c r="CB17" s="19">
        <v>3</v>
      </c>
      <c r="CC17" s="19">
        <v>0</v>
      </c>
      <c r="CD17" s="19">
        <v>26</v>
      </c>
      <c r="CE17" s="19">
        <v>131</v>
      </c>
      <c r="CF17" s="19">
        <v>157</v>
      </c>
      <c r="CG17" s="19">
        <v>8</v>
      </c>
      <c r="CH17" s="19">
        <v>8</v>
      </c>
      <c r="CI17" s="19">
        <v>16</v>
      </c>
      <c r="CJ17" s="19">
        <v>0</v>
      </c>
      <c r="CK17" s="19">
        <v>65</v>
      </c>
      <c r="CL17" s="19">
        <v>61</v>
      </c>
      <c r="CM17" s="19">
        <v>93.85</v>
      </c>
      <c r="CN17" s="19">
        <v>89</v>
      </c>
      <c r="CO17" s="19">
        <v>67</v>
      </c>
      <c r="CP17" s="19">
        <v>156</v>
      </c>
      <c r="CQ17" s="19">
        <v>6</v>
      </c>
      <c r="CR17" s="19">
        <v>5</v>
      </c>
      <c r="CS17" s="19">
        <v>3</v>
      </c>
      <c r="CT17" s="19">
        <v>31</v>
      </c>
      <c r="CU17" s="19">
        <v>29</v>
      </c>
      <c r="CV17" s="19">
        <v>93.55</v>
      </c>
      <c r="CW17" s="19">
        <f t="shared" si="5"/>
        <v>12</v>
      </c>
      <c r="CX17" s="19">
        <f t="shared" si="6"/>
        <v>4</v>
      </c>
      <c r="CY17" s="19">
        <f t="shared" si="7"/>
        <v>6</v>
      </c>
      <c r="CZ17" s="19">
        <f t="shared" si="8"/>
        <v>2</v>
      </c>
    </row>
    <row r="18" spans="1:104" ht="15.75" customHeight="1" x14ac:dyDescent="0.35">
      <c r="A18" s="15" t="s">
        <v>125</v>
      </c>
      <c r="B18" s="16">
        <v>1</v>
      </c>
      <c r="C18" s="15" t="s">
        <v>109</v>
      </c>
      <c r="D18" s="16">
        <v>5</v>
      </c>
      <c r="E18" s="15">
        <v>0</v>
      </c>
      <c r="F18" s="15" t="s">
        <v>123</v>
      </c>
      <c r="G18" s="15" t="s">
        <v>107</v>
      </c>
      <c r="H18" s="15">
        <v>1</v>
      </c>
      <c r="I18" s="15">
        <v>1</v>
      </c>
      <c r="J18" s="17"/>
      <c r="K18" s="16">
        <v>4</v>
      </c>
      <c r="L18" s="16">
        <v>4</v>
      </c>
      <c r="M18" s="16">
        <v>56</v>
      </c>
      <c r="N18" s="16">
        <v>156</v>
      </c>
      <c r="O18" s="16">
        <v>212</v>
      </c>
      <c r="P18" s="16">
        <v>29</v>
      </c>
      <c r="Q18" s="16">
        <v>4</v>
      </c>
      <c r="R18" s="16">
        <v>25</v>
      </c>
      <c r="S18" s="16">
        <v>300</v>
      </c>
      <c r="T18" s="19">
        <v>2</v>
      </c>
      <c r="U18" s="19">
        <v>3</v>
      </c>
      <c r="V18" s="19">
        <v>2</v>
      </c>
      <c r="W18" s="19">
        <v>6</v>
      </c>
      <c r="X18" s="19">
        <v>84</v>
      </c>
      <c r="Y18" s="19">
        <v>90</v>
      </c>
      <c r="Z18" s="19">
        <v>2</v>
      </c>
      <c r="AA18" s="19">
        <v>3</v>
      </c>
      <c r="AB18" s="19">
        <v>3</v>
      </c>
      <c r="AC18" s="19">
        <v>1</v>
      </c>
      <c r="AD18" s="19">
        <v>19</v>
      </c>
      <c r="AE18" s="19">
        <v>11</v>
      </c>
      <c r="AF18" s="19">
        <v>57.89</v>
      </c>
      <c r="AG18" s="19">
        <v>7</v>
      </c>
      <c r="AH18" s="19">
        <v>59</v>
      </c>
      <c r="AI18" s="19">
        <v>66</v>
      </c>
      <c r="AJ18" s="19">
        <v>5</v>
      </c>
      <c r="AK18" s="19">
        <v>3</v>
      </c>
      <c r="AL18" s="19">
        <v>3</v>
      </c>
      <c r="AM18" s="19">
        <v>21</v>
      </c>
      <c r="AN18" s="19">
        <v>19</v>
      </c>
      <c r="AO18" s="19">
        <v>90.48</v>
      </c>
      <c r="AP18" s="15">
        <v>25</v>
      </c>
      <c r="AQ18" s="15">
        <v>4</v>
      </c>
      <c r="AR18" s="16">
        <v>22</v>
      </c>
      <c r="AS18" s="16"/>
      <c r="AT18" s="16">
        <v>48</v>
      </c>
      <c r="AU18" s="16"/>
      <c r="AV18" s="15">
        <v>34</v>
      </c>
      <c r="AW18" s="15">
        <v>1</v>
      </c>
      <c r="AX18" s="16">
        <v>41</v>
      </c>
      <c r="AY18" s="16"/>
      <c r="AZ18" s="15">
        <v>42</v>
      </c>
      <c r="BA18" s="15">
        <v>2</v>
      </c>
      <c r="BB18" s="16">
        <v>44</v>
      </c>
      <c r="BC18" s="16"/>
      <c r="BD18" s="16">
        <v>43</v>
      </c>
      <c r="BE18" s="16"/>
      <c r="BF18" s="16">
        <v>14</v>
      </c>
      <c r="BG18" s="16">
        <v>9</v>
      </c>
      <c r="BH18" s="16">
        <v>23</v>
      </c>
      <c r="BI18" s="16">
        <v>8</v>
      </c>
      <c r="BJ18" s="16">
        <v>8</v>
      </c>
      <c r="BK18" s="16">
        <v>16</v>
      </c>
      <c r="BL18" s="16">
        <v>7</v>
      </c>
      <c r="BM18" s="16">
        <v>16</v>
      </c>
      <c r="BN18" s="16">
        <v>11</v>
      </c>
      <c r="BO18" s="16">
        <v>6</v>
      </c>
      <c r="BP18" s="16">
        <v>2</v>
      </c>
      <c r="BQ18" s="16">
        <v>42</v>
      </c>
      <c r="BR18" s="16">
        <v>4</v>
      </c>
      <c r="BS18" s="16">
        <v>4</v>
      </c>
      <c r="BT18" s="16">
        <v>33</v>
      </c>
      <c r="BU18" s="16">
        <v>143</v>
      </c>
      <c r="BV18" s="16">
        <v>176</v>
      </c>
      <c r="BW18" s="16">
        <v>34</v>
      </c>
      <c r="BX18" s="16">
        <v>1</v>
      </c>
      <c r="BY18" s="16">
        <v>26</v>
      </c>
      <c r="BZ18" s="16">
        <v>370</v>
      </c>
      <c r="CA18" s="21">
        <v>5</v>
      </c>
      <c r="CB18" s="21">
        <v>6</v>
      </c>
      <c r="CC18" s="21">
        <v>4</v>
      </c>
      <c r="CD18" s="19">
        <v>37</v>
      </c>
      <c r="CE18" s="19">
        <v>111</v>
      </c>
      <c r="CF18" s="19">
        <v>148</v>
      </c>
      <c r="CG18" s="19">
        <v>8</v>
      </c>
      <c r="CH18" s="19">
        <v>8</v>
      </c>
      <c r="CI18" s="19">
        <v>16</v>
      </c>
      <c r="CJ18" s="19">
        <v>0</v>
      </c>
      <c r="CK18" s="19">
        <v>67</v>
      </c>
      <c r="CL18" s="19">
        <v>61</v>
      </c>
      <c r="CM18" s="19">
        <v>91.04</v>
      </c>
      <c r="CN18" s="19">
        <v>10</v>
      </c>
      <c r="CO18" s="19">
        <v>62</v>
      </c>
      <c r="CP18" s="19">
        <v>72</v>
      </c>
      <c r="CQ18" s="19">
        <v>7</v>
      </c>
      <c r="CR18" s="19">
        <v>7</v>
      </c>
      <c r="CS18" s="19">
        <v>3</v>
      </c>
      <c r="CT18" s="19">
        <v>34</v>
      </c>
      <c r="CU18" s="19">
        <v>34</v>
      </c>
      <c r="CV18" s="19">
        <v>100</v>
      </c>
      <c r="CW18" s="19">
        <f t="shared" si="5"/>
        <v>8</v>
      </c>
      <c r="CX18" s="19">
        <f t="shared" si="6"/>
        <v>6</v>
      </c>
      <c r="CY18" s="19">
        <f t="shared" si="7"/>
        <v>2</v>
      </c>
      <c r="CZ18" s="19">
        <f t="shared" si="8"/>
        <v>0</v>
      </c>
    </row>
    <row r="19" spans="1:104" ht="15.75" customHeight="1" x14ac:dyDescent="0.35">
      <c r="A19" s="15" t="s">
        <v>126</v>
      </c>
      <c r="B19" s="16">
        <v>1</v>
      </c>
      <c r="C19" s="15" t="s">
        <v>105</v>
      </c>
      <c r="D19" s="16">
        <v>5</v>
      </c>
      <c r="E19" s="15">
        <v>0</v>
      </c>
      <c r="F19" s="15" t="s">
        <v>123</v>
      </c>
      <c r="G19" s="15" t="s">
        <v>107</v>
      </c>
      <c r="H19" s="15">
        <v>1</v>
      </c>
      <c r="I19" s="15">
        <v>1</v>
      </c>
      <c r="J19" s="17"/>
      <c r="K19" s="16">
        <v>3</v>
      </c>
      <c r="L19" s="16">
        <v>0</v>
      </c>
      <c r="M19" s="16">
        <v>48</v>
      </c>
      <c r="N19" s="16">
        <v>119</v>
      </c>
      <c r="O19" s="16">
        <v>167</v>
      </c>
      <c r="P19" s="16">
        <v>19</v>
      </c>
      <c r="Q19" s="16">
        <v>5</v>
      </c>
      <c r="R19" s="16">
        <v>18</v>
      </c>
      <c r="S19" s="16">
        <v>373</v>
      </c>
      <c r="T19" s="19">
        <v>2</v>
      </c>
      <c r="U19" s="19">
        <v>3</v>
      </c>
      <c r="V19" s="19">
        <v>0</v>
      </c>
      <c r="W19" s="19">
        <v>86</v>
      </c>
      <c r="X19" s="19">
        <v>250</v>
      </c>
      <c r="Y19" s="19">
        <v>336</v>
      </c>
      <c r="Z19" s="19">
        <v>8</v>
      </c>
      <c r="AA19" s="19">
        <v>9</v>
      </c>
      <c r="AB19" s="19">
        <v>15</v>
      </c>
      <c r="AC19" s="19">
        <v>1</v>
      </c>
      <c r="AD19" s="19">
        <v>93</v>
      </c>
      <c r="AE19" s="19">
        <v>63</v>
      </c>
      <c r="AF19" s="19">
        <v>67.739999999999995</v>
      </c>
      <c r="AG19" s="19">
        <v>6</v>
      </c>
      <c r="AH19" s="19">
        <v>25</v>
      </c>
      <c r="AI19" s="19">
        <v>31</v>
      </c>
      <c r="AJ19" s="19">
        <v>4</v>
      </c>
      <c r="AK19" s="19">
        <v>1</v>
      </c>
      <c r="AL19" s="19">
        <v>3</v>
      </c>
      <c r="AM19" s="19">
        <v>11</v>
      </c>
      <c r="AN19" s="19">
        <v>9</v>
      </c>
      <c r="AO19" s="19">
        <v>81.819999999999993</v>
      </c>
      <c r="AP19" s="15">
        <v>26</v>
      </c>
      <c r="AQ19" s="15">
        <v>5</v>
      </c>
      <c r="AR19" s="15">
        <v>23</v>
      </c>
      <c r="AS19" s="15">
        <v>1</v>
      </c>
      <c r="AT19" s="15">
        <v>55</v>
      </c>
      <c r="AU19" s="15">
        <v>1</v>
      </c>
      <c r="AV19" s="15">
        <v>44</v>
      </c>
      <c r="AW19" s="15">
        <v>1</v>
      </c>
      <c r="AX19" s="16">
        <v>49</v>
      </c>
      <c r="AY19" s="16"/>
      <c r="AZ19" s="15">
        <v>47</v>
      </c>
      <c r="BA19" s="15">
        <v>2</v>
      </c>
      <c r="BB19" s="16">
        <v>52</v>
      </c>
      <c r="BC19" s="16"/>
      <c r="BD19" s="16">
        <v>59</v>
      </c>
      <c r="BE19" s="16"/>
      <c r="BF19" s="16">
        <v>8</v>
      </c>
      <c r="BG19" s="16">
        <v>5</v>
      </c>
      <c r="BH19" s="16">
        <v>13</v>
      </c>
      <c r="BI19" s="16">
        <v>8</v>
      </c>
      <c r="BJ19" s="16">
        <v>8</v>
      </c>
      <c r="BK19" s="16">
        <v>16</v>
      </c>
      <c r="BL19" s="16">
        <v>4</v>
      </c>
      <c r="BM19" s="16">
        <v>8</v>
      </c>
      <c r="BN19" s="16">
        <v>7</v>
      </c>
      <c r="BO19" s="16">
        <v>5</v>
      </c>
      <c r="BP19" s="16">
        <v>2</v>
      </c>
      <c r="BQ19" s="16">
        <v>26</v>
      </c>
      <c r="BR19" s="16">
        <v>4</v>
      </c>
      <c r="BS19" s="16">
        <v>0</v>
      </c>
      <c r="BT19" s="16">
        <v>90</v>
      </c>
      <c r="BU19" s="16">
        <v>128</v>
      </c>
      <c r="BV19" s="16">
        <v>218</v>
      </c>
      <c r="BW19" s="16">
        <v>30</v>
      </c>
      <c r="BX19" s="16">
        <v>0</v>
      </c>
      <c r="BY19" s="16">
        <v>20</v>
      </c>
      <c r="BZ19" s="16">
        <v>343</v>
      </c>
      <c r="CA19" s="19">
        <v>3</v>
      </c>
      <c r="CB19" s="19">
        <v>5</v>
      </c>
      <c r="CC19" s="19">
        <v>3</v>
      </c>
      <c r="CD19" s="19">
        <v>45</v>
      </c>
      <c r="CE19" s="19">
        <v>214</v>
      </c>
      <c r="CF19" s="19">
        <v>259</v>
      </c>
      <c r="CG19" s="19">
        <v>8</v>
      </c>
      <c r="CH19" s="19">
        <v>8</v>
      </c>
      <c r="CI19" s="19">
        <v>16</v>
      </c>
      <c r="CJ19" s="19">
        <v>0</v>
      </c>
      <c r="CK19" s="19">
        <v>87</v>
      </c>
      <c r="CL19" s="19">
        <v>61</v>
      </c>
      <c r="CM19" s="19">
        <v>70.11</v>
      </c>
      <c r="CN19" s="19">
        <v>25</v>
      </c>
      <c r="CO19" s="19">
        <v>133</v>
      </c>
      <c r="CP19" s="19">
        <v>158</v>
      </c>
      <c r="CQ19" s="19">
        <v>8</v>
      </c>
      <c r="CR19" s="19">
        <v>9</v>
      </c>
      <c r="CS19" s="19">
        <v>3</v>
      </c>
      <c r="CT19" s="19">
        <v>51</v>
      </c>
      <c r="CU19" s="19">
        <v>47</v>
      </c>
      <c r="CV19" s="19">
        <v>92.16</v>
      </c>
      <c r="CW19" s="19">
        <f t="shared" si="5"/>
        <v>30</v>
      </c>
      <c r="CX19" s="19">
        <f t="shared" si="6"/>
        <v>26</v>
      </c>
      <c r="CY19" s="19">
        <f t="shared" si="7"/>
        <v>2</v>
      </c>
      <c r="CZ19" s="19">
        <f t="shared" si="8"/>
        <v>4</v>
      </c>
    </row>
    <row r="20" spans="1:104" ht="15.75" customHeight="1" x14ac:dyDescent="0.35">
      <c r="A20" s="15" t="s">
        <v>127</v>
      </c>
      <c r="B20" s="16">
        <v>1</v>
      </c>
      <c r="C20" s="15" t="s">
        <v>109</v>
      </c>
      <c r="D20" s="16">
        <v>5</v>
      </c>
      <c r="E20" s="15">
        <v>0</v>
      </c>
      <c r="F20" s="15" t="s">
        <v>123</v>
      </c>
      <c r="G20" s="15" t="s">
        <v>107</v>
      </c>
      <c r="H20" s="15">
        <v>1</v>
      </c>
      <c r="I20" s="15">
        <v>1</v>
      </c>
      <c r="J20" s="17"/>
      <c r="K20" s="16">
        <v>4</v>
      </c>
      <c r="L20" s="16">
        <v>0</v>
      </c>
      <c r="M20" s="16">
        <v>80</v>
      </c>
      <c r="N20" s="16">
        <v>192</v>
      </c>
      <c r="O20" s="16">
        <v>272</v>
      </c>
      <c r="P20" s="16">
        <v>23</v>
      </c>
      <c r="Q20" s="16">
        <v>6</v>
      </c>
      <c r="R20" s="16">
        <v>17</v>
      </c>
      <c r="S20" s="16">
        <v>368</v>
      </c>
      <c r="T20" s="19">
        <v>2</v>
      </c>
      <c r="U20" s="19">
        <v>4</v>
      </c>
      <c r="V20" s="19">
        <v>1</v>
      </c>
      <c r="W20" s="19">
        <v>43</v>
      </c>
      <c r="X20" s="19">
        <v>135</v>
      </c>
      <c r="Y20" s="19">
        <v>178</v>
      </c>
      <c r="Z20" s="19">
        <v>8</v>
      </c>
      <c r="AA20" s="19">
        <v>8</v>
      </c>
      <c r="AB20" s="19">
        <v>16</v>
      </c>
      <c r="AC20" s="19">
        <v>0</v>
      </c>
      <c r="AD20" s="19">
        <v>63</v>
      </c>
      <c r="AE20" s="19">
        <v>61</v>
      </c>
      <c r="AF20" s="19">
        <v>96.83</v>
      </c>
      <c r="AG20" s="20">
        <v>38427</v>
      </c>
      <c r="AH20" s="38">
        <v>-38408</v>
      </c>
      <c r="AI20" s="19">
        <v>19</v>
      </c>
      <c r="AJ20" s="19">
        <v>3</v>
      </c>
      <c r="AK20" s="19">
        <v>2</v>
      </c>
      <c r="AL20" s="19">
        <v>2</v>
      </c>
      <c r="AM20" s="19">
        <v>8</v>
      </c>
      <c r="AN20" s="19">
        <v>8</v>
      </c>
      <c r="AO20" s="19">
        <v>100</v>
      </c>
      <c r="AP20" s="16">
        <v>17</v>
      </c>
      <c r="AQ20" s="16"/>
      <c r="AR20" s="16">
        <v>3</v>
      </c>
      <c r="AS20" s="16"/>
      <c r="AT20" s="16">
        <v>20</v>
      </c>
      <c r="AU20" s="16"/>
      <c r="AV20" s="16">
        <v>29</v>
      </c>
      <c r="AW20" s="16"/>
      <c r="AX20" s="16">
        <v>28</v>
      </c>
      <c r="AY20" s="16"/>
      <c r="AZ20" s="16">
        <v>36</v>
      </c>
      <c r="BA20" s="16"/>
      <c r="BB20" s="16">
        <v>40</v>
      </c>
      <c r="BC20" s="16"/>
      <c r="BD20" s="16">
        <v>53</v>
      </c>
      <c r="BE20" s="16"/>
      <c r="BF20" s="16">
        <v>12</v>
      </c>
      <c r="BG20" s="16">
        <v>7</v>
      </c>
      <c r="BH20" s="16">
        <v>19</v>
      </c>
      <c r="BI20" s="16">
        <v>17</v>
      </c>
      <c r="BJ20" s="16">
        <v>18</v>
      </c>
      <c r="BK20" s="16">
        <v>35</v>
      </c>
      <c r="BL20" s="16">
        <v>9</v>
      </c>
      <c r="BM20" s="16">
        <v>13</v>
      </c>
      <c r="BN20" s="16">
        <v>4</v>
      </c>
      <c r="BO20" s="16">
        <v>3</v>
      </c>
      <c r="BP20" s="16">
        <v>3</v>
      </c>
      <c r="BQ20" s="16">
        <v>32</v>
      </c>
      <c r="BR20" s="16">
        <v>0</v>
      </c>
      <c r="BS20" s="16">
        <v>3</v>
      </c>
      <c r="BT20" s="16">
        <v>115</v>
      </c>
      <c r="BU20" s="16">
        <v>169</v>
      </c>
      <c r="BV20" s="16">
        <v>284</v>
      </c>
      <c r="BW20" s="16">
        <v>26</v>
      </c>
      <c r="BX20" s="16">
        <v>3</v>
      </c>
      <c r="BY20" s="16">
        <v>20</v>
      </c>
      <c r="BZ20" s="16">
        <v>327</v>
      </c>
      <c r="CA20" s="19">
        <v>1</v>
      </c>
      <c r="CB20" s="19">
        <v>2</v>
      </c>
      <c r="CC20" s="19">
        <v>0</v>
      </c>
      <c r="CD20" s="19">
        <v>67</v>
      </c>
      <c r="CE20" s="19">
        <v>155</v>
      </c>
      <c r="CF20" s="19">
        <v>222</v>
      </c>
      <c r="CG20" s="19">
        <v>8</v>
      </c>
      <c r="CH20" s="19">
        <v>9</v>
      </c>
      <c r="CI20" s="19">
        <v>15</v>
      </c>
      <c r="CJ20" s="19">
        <v>1</v>
      </c>
      <c r="CK20" s="19">
        <v>53</v>
      </c>
      <c r="CL20" s="33">
        <v>60</v>
      </c>
      <c r="CM20" s="19">
        <v>113.21</v>
      </c>
      <c r="CN20" s="19">
        <v>3</v>
      </c>
      <c r="CO20" s="19">
        <v>72</v>
      </c>
      <c r="CP20" s="19">
        <v>75</v>
      </c>
      <c r="CQ20" s="19">
        <v>5</v>
      </c>
      <c r="CR20" s="19">
        <v>3</v>
      </c>
      <c r="CS20" s="19">
        <v>3</v>
      </c>
      <c r="CT20" s="19">
        <v>18</v>
      </c>
      <c r="CU20" s="19">
        <v>19</v>
      </c>
      <c r="CV20" s="19">
        <v>105.56</v>
      </c>
      <c r="CW20" s="19">
        <f t="shared" si="5"/>
        <v>2</v>
      </c>
      <c r="CX20" s="37">
        <f t="shared" si="6"/>
        <v>-7</v>
      </c>
      <c r="CY20" s="19">
        <f t="shared" si="7"/>
        <v>0</v>
      </c>
      <c r="CZ20" s="37">
        <f t="shared" si="8"/>
        <v>-1</v>
      </c>
    </row>
    <row r="21" spans="1:104" ht="15.75" customHeight="1" x14ac:dyDescent="0.35">
      <c r="A21" s="15" t="s">
        <v>128</v>
      </c>
      <c r="B21" s="16">
        <v>1</v>
      </c>
      <c r="C21" s="15" t="s">
        <v>105</v>
      </c>
      <c r="D21" s="16">
        <v>5</v>
      </c>
      <c r="E21" s="15">
        <v>0</v>
      </c>
      <c r="F21" s="15" t="s">
        <v>123</v>
      </c>
      <c r="G21" s="15" t="s">
        <v>107</v>
      </c>
      <c r="H21" s="15">
        <v>1</v>
      </c>
      <c r="I21" s="15">
        <v>1</v>
      </c>
      <c r="J21" s="17"/>
      <c r="K21" s="16">
        <v>5</v>
      </c>
      <c r="L21" s="16">
        <v>4</v>
      </c>
      <c r="M21" s="16">
        <v>28</v>
      </c>
      <c r="N21" s="16">
        <v>81</v>
      </c>
      <c r="O21" s="16">
        <v>109</v>
      </c>
      <c r="P21" s="16">
        <v>19</v>
      </c>
      <c r="Q21" s="16">
        <v>4</v>
      </c>
      <c r="R21" s="16">
        <v>23</v>
      </c>
      <c r="S21" s="16">
        <v>404</v>
      </c>
      <c r="T21" s="19">
        <v>3</v>
      </c>
      <c r="U21" s="19">
        <v>2</v>
      </c>
      <c r="V21" s="19">
        <v>4</v>
      </c>
      <c r="W21" s="19">
        <v>52</v>
      </c>
      <c r="X21" s="19">
        <v>166</v>
      </c>
      <c r="Y21" s="19">
        <v>218</v>
      </c>
      <c r="Z21" s="19">
        <v>8</v>
      </c>
      <c r="AA21" s="19">
        <v>8</v>
      </c>
      <c r="AB21" s="19">
        <v>16</v>
      </c>
      <c r="AC21" s="19">
        <v>0</v>
      </c>
      <c r="AD21" s="19">
        <v>81</v>
      </c>
      <c r="AE21" s="19">
        <v>61</v>
      </c>
      <c r="AF21" s="19">
        <v>75.31</v>
      </c>
      <c r="AG21" s="19">
        <v>13</v>
      </c>
      <c r="AH21" s="19">
        <v>74</v>
      </c>
      <c r="AI21" s="19">
        <v>87</v>
      </c>
      <c r="AJ21" s="19">
        <v>8</v>
      </c>
      <c r="AK21" s="19">
        <v>6</v>
      </c>
      <c r="AL21" s="19">
        <v>4</v>
      </c>
      <c r="AM21" s="19">
        <v>44</v>
      </c>
      <c r="AN21" s="19">
        <v>34</v>
      </c>
      <c r="AO21" s="19">
        <v>77.27</v>
      </c>
      <c r="AP21" s="15">
        <v>15</v>
      </c>
      <c r="AQ21" s="15">
        <v>1</v>
      </c>
      <c r="AR21" s="15">
        <v>14</v>
      </c>
      <c r="AS21" s="15">
        <v>1</v>
      </c>
      <c r="AT21" s="16">
        <v>30</v>
      </c>
      <c r="AU21" s="16"/>
      <c r="AV21" s="16">
        <v>33</v>
      </c>
      <c r="AW21" s="16"/>
      <c r="AX21" s="15">
        <v>42</v>
      </c>
      <c r="AY21" s="15">
        <v>1</v>
      </c>
      <c r="AZ21" s="16">
        <v>44</v>
      </c>
      <c r="BA21" s="16"/>
      <c r="BB21" s="16">
        <v>36</v>
      </c>
      <c r="BC21" s="16"/>
      <c r="BD21" s="16">
        <v>52</v>
      </c>
      <c r="BE21" s="16"/>
      <c r="BF21" s="16">
        <v>8</v>
      </c>
      <c r="BG21" s="16">
        <v>5</v>
      </c>
      <c r="BH21" s="16">
        <v>13</v>
      </c>
      <c r="BI21" s="16">
        <v>6</v>
      </c>
      <c r="BJ21" s="16">
        <v>6</v>
      </c>
      <c r="BK21" s="16">
        <v>12</v>
      </c>
      <c r="BL21" s="16">
        <v>4</v>
      </c>
      <c r="BM21" s="16">
        <v>8</v>
      </c>
      <c r="BN21" s="16">
        <v>5</v>
      </c>
      <c r="BO21" s="16">
        <v>4</v>
      </c>
      <c r="BP21" s="16">
        <v>2</v>
      </c>
      <c r="BQ21" s="16">
        <v>23</v>
      </c>
      <c r="BR21" s="16">
        <v>5</v>
      </c>
      <c r="BS21" s="16">
        <v>5</v>
      </c>
      <c r="BT21" s="16">
        <v>228</v>
      </c>
      <c r="BU21" s="16">
        <v>195</v>
      </c>
      <c r="BV21" s="16">
        <v>423</v>
      </c>
      <c r="BW21" s="16">
        <v>27</v>
      </c>
      <c r="BX21" s="16">
        <v>0</v>
      </c>
      <c r="BY21" s="16">
        <v>30</v>
      </c>
      <c r="BZ21" s="16">
        <v>379</v>
      </c>
      <c r="CA21" s="19">
        <v>3</v>
      </c>
      <c r="CB21" s="19">
        <v>5</v>
      </c>
      <c r="CC21" s="19">
        <v>3</v>
      </c>
      <c r="CD21" s="19">
        <v>31</v>
      </c>
      <c r="CE21" s="19">
        <v>140</v>
      </c>
      <c r="CF21" s="19">
        <v>171</v>
      </c>
      <c r="CG21" s="19">
        <v>8</v>
      </c>
      <c r="CH21" s="19">
        <v>8</v>
      </c>
      <c r="CI21" s="19">
        <v>16</v>
      </c>
      <c r="CJ21" s="19">
        <v>0</v>
      </c>
      <c r="CK21" s="19">
        <v>63</v>
      </c>
      <c r="CL21" s="19">
        <v>61</v>
      </c>
      <c r="CM21" s="19">
        <v>96.83</v>
      </c>
      <c r="CN21" s="19">
        <v>37</v>
      </c>
      <c r="CO21" s="19">
        <v>51</v>
      </c>
      <c r="CP21" s="19">
        <v>88</v>
      </c>
      <c r="CQ21" s="19">
        <v>7</v>
      </c>
      <c r="CR21" s="19">
        <v>7</v>
      </c>
      <c r="CS21" s="19">
        <v>3</v>
      </c>
      <c r="CT21" s="19">
        <v>38</v>
      </c>
      <c r="CU21" s="19">
        <v>36</v>
      </c>
      <c r="CV21" s="19">
        <v>94.74</v>
      </c>
      <c r="CW21" s="19">
        <f t="shared" si="5"/>
        <v>20</v>
      </c>
      <c r="CX21" s="19">
        <f t="shared" si="6"/>
        <v>2</v>
      </c>
      <c r="CY21" s="19">
        <f t="shared" si="7"/>
        <v>10</v>
      </c>
      <c r="CZ21" s="19">
        <f t="shared" si="8"/>
        <v>2</v>
      </c>
    </row>
    <row r="22" spans="1:104" ht="15.75" customHeight="1" x14ac:dyDescent="0.35">
      <c r="A22" s="15" t="s">
        <v>129</v>
      </c>
      <c r="B22" s="16">
        <v>1</v>
      </c>
      <c r="C22" s="15" t="s">
        <v>109</v>
      </c>
      <c r="D22" s="16">
        <v>5</v>
      </c>
      <c r="E22" s="15">
        <v>0</v>
      </c>
      <c r="F22" s="15" t="s">
        <v>123</v>
      </c>
      <c r="G22" s="15" t="s">
        <v>107</v>
      </c>
      <c r="H22" s="15">
        <v>1</v>
      </c>
      <c r="I22" s="15">
        <v>1</v>
      </c>
      <c r="J22" s="17"/>
      <c r="K22" s="16">
        <v>0</v>
      </c>
      <c r="L22" s="16">
        <v>0</v>
      </c>
      <c r="M22" s="16">
        <v>38</v>
      </c>
      <c r="N22" s="16">
        <v>191</v>
      </c>
      <c r="O22" s="16">
        <v>229</v>
      </c>
      <c r="P22" s="16">
        <v>22</v>
      </c>
      <c r="Q22" s="16">
        <v>3</v>
      </c>
      <c r="R22" s="16">
        <v>14</v>
      </c>
      <c r="S22" s="16">
        <v>352</v>
      </c>
      <c r="T22" s="19">
        <v>2</v>
      </c>
      <c r="U22" s="19">
        <v>3</v>
      </c>
      <c r="V22" s="19">
        <v>2</v>
      </c>
      <c r="W22" s="19">
        <v>48</v>
      </c>
      <c r="X22" s="19">
        <v>225</v>
      </c>
      <c r="Y22" s="19">
        <v>273</v>
      </c>
      <c r="Z22" s="19">
        <v>8</v>
      </c>
      <c r="AA22" s="19">
        <v>8</v>
      </c>
      <c r="AB22" s="19">
        <v>16</v>
      </c>
      <c r="AC22" s="19">
        <v>0</v>
      </c>
      <c r="AD22" s="19">
        <v>77</v>
      </c>
      <c r="AE22" s="19">
        <v>61</v>
      </c>
      <c r="AF22" s="19">
        <v>79.22</v>
      </c>
      <c r="AG22" s="19">
        <v>10</v>
      </c>
      <c r="AH22" s="19">
        <v>50</v>
      </c>
      <c r="AI22" s="19">
        <v>60</v>
      </c>
      <c r="AJ22" s="19">
        <v>4</v>
      </c>
      <c r="AK22" s="19">
        <v>4</v>
      </c>
      <c r="AL22" s="19">
        <v>2</v>
      </c>
      <c r="AM22" s="19">
        <v>22</v>
      </c>
      <c r="AN22" s="19">
        <v>18</v>
      </c>
      <c r="AO22" s="19">
        <v>81.819999999999993</v>
      </c>
      <c r="AP22" s="16">
        <v>19</v>
      </c>
      <c r="AQ22" s="16"/>
      <c r="AR22" s="16">
        <v>8</v>
      </c>
      <c r="AS22" s="16"/>
      <c r="AT22" s="16">
        <v>12</v>
      </c>
      <c r="AU22" s="16"/>
      <c r="AV22" s="16">
        <v>30</v>
      </c>
      <c r="AW22" s="16"/>
      <c r="AX22" s="16">
        <v>33</v>
      </c>
      <c r="AY22" s="16"/>
      <c r="AZ22" s="16">
        <v>38</v>
      </c>
      <c r="BA22" s="16"/>
      <c r="BB22" s="16">
        <v>33</v>
      </c>
      <c r="BC22" s="16"/>
      <c r="BD22" s="16">
        <v>50</v>
      </c>
      <c r="BE22" s="16"/>
      <c r="BF22" s="16">
        <v>9</v>
      </c>
      <c r="BG22" s="16">
        <v>7</v>
      </c>
      <c r="BH22" s="16">
        <v>16</v>
      </c>
      <c r="BI22" s="16">
        <v>7</v>
      </c>
      <c r="BJ22" s="16">
        <v>8</v>
      </c>
      <c r="BK22" s="16">
        <v>15</v>
      </c>
      <c r="BL22" s="16">
        <v>5</v>
      </c>
      <c r="BM22" s="16">
        <v>8</v>
      </c>
      <c r="BN22" s="16">
        <v>4</v>
      </c>
      <c r="BO22" s="16">
        <v>3</v>
      </c>
      <c r="BP22" s="16">
        <v>3</v>
      </c>
      <c r="BQ22" s="16">
        <v>23</v>
      </c>
      <c r="BR22" s="16">
        <v>4</v>
      </c>
      <c r="BS22" s="16">
        <v>3</v>
      </c>
      <c r="BT22" s="16">
        <v>73</v>
      </c>
      <c r="BU22" s="16">
        <v>127</v>
      </c>
      <c r="BV22" s="16">
        <v>200</v>
      </c>
      <c r="BW22" s="16">
        <v>29</v>
      </c>
      <c r="BX22" s="16">
        <v>2</v>
      </c>
      <c r="BY22" s="16">
        <v>16</v>
      </c>
      <c r="BZ22" s="16">
        <v>294</v>
      </c>
      <c r="CA22" s="21">
        <v>4</v>
      </c>
      <c r="CB22" s="21">
        <v>5</v>
      </c>
      <c r="CC22" s="21">
        <v>4</v>
      </c>
      <c r="CD22" s="19">
        <v>58</v>
      </c>
      <c r="CE22" s="19">
        <v>120</v>
      </c>
      <c r="CF22" s="19">
        <v>178</v>
      </c>
      <c r="CG22" s="19">
        <v>8</v>
      </c>
      <c r="CH22" s="19">
        <v>8</v>
      </c>
      <c r="CI22" s="19">
        <v>16</v>
      </c>
      <c r="CJ22" s="19">
        <v>0</v>
      </c>
      <c r="CK22" s="33">
        <v>61</v>
      </c>
      <c r="CL22" s="19">
        <v>61</v>
      </c>
      <c r="CM22" s="19">
        <v>112.96</v>
      </c>
      <c r="CN22" s="19">
        <v>34</v>
      </c>
      <c r="CO22" s="19">
        <v>52</v>
      </c>
      <c r="CP22" s="19">
        <v>86</v>
      </c>
      <c r="CQ22" s="19">
        <v>6</v>
      </c>
      <c r="CR22" s="19">
        <v>5</v>
      </c>
      <c r="CS22" s="19">
        <v>3</v>
      </c>
      <c r="CT22" s="19">
        <v>34</v>
      </c>
      <c r="CU22" s="19">
        <v>28</v>
      </c>
      <c r="CV22" s="19">
        <v>82.35</v>
      </c>
      <c r="CW22" s="19">
        <f t="shared" si="5"/>
        <v>16</v>
      </c>
      <c r="CX22" s="19">
        <f t="shared" si="6"/>
        <v>0</v>
      </c>
      <c r="CY22" s="19">
        <f t="shared" si="7"/>
        <v>4</v>
      </c>
      <c r="CZ22" s="19">
        <f t="shared" si="8"/>
        <v>6</v>
      </c>
    </row>
    <row r="23" spans="1:104" ht="15.75" customHeight="1" x14ac:dyDescent="0.35">
      <c r="A23" s="23" t="s">
        <v>130</v>
      </c>
      <c r="B23" s="16">
        <v>1</v>
      </c>
      <c r="C23" s="15" t="s">
        <v>109</v>
      </c>
      <c r="D23" s="16">
        <v>5</v>
      </c>
      <c r="E23" s="15">
        <v>0</v>
      </c>
      <c r="F23" s="15" t="s">
        <v>123</v>
      </c>
      <c r="G23" s="15" t="s">
        <v>107</v>
      </c>
      <c r="H23" s="15">
        <v>1</v>
      </c>
      <c r="I23" s="15">
        <v>1</v>
      </c>
      <c r="J23" s="17"/>
      <c r="K23" s="16">
        <v>3</v>
      </c>
      <c r="L23" s="16">
        <v>0</v>
      </c>
      <c r="M23" s="16">
        <v>38</v>
      </c>
      <c r="N23" s="16">
        <v>69</v>
      </c>
      <c r="O23" s="16">
        <v>107</v>
      </c>
      <c r="P23" s="16">
        <v>10</v>
      </c>
      <c r="Q23" s="16">
        <v>8</v>
      </c>
      <c r="R23" s="16">
        <v>13</v>
      </c>
      <c r="S23" s="16">
        <v>325</v>
      </c>
      <c r="T23" s="21">
        <v>1</v>
      </c>
      <c r="U23" s="21">
        <v>2</v>
      </c>
      <c r="V23" s="21">
        <v>0</v>
      </c>
      <c r="W23" s="19">
        <v>71</v>
      </c>
      <c r="X23" s="19">
        <v>311</v>
      </c>
      <c r="Y23" s="19">
        <v>382</v>
      </c>
      <c r="Z23" s="19">
        <v>8</v>
      </c>
      <c r="AA23" s="19">
        <v>12</v>
      </c>
      <c r="AB23" s="19">
        <v>13</v>
      </c>
      <c r="AC23" s="19">
        <v>4</v>
      </c>
      <c r="AD23" s="19">
        <v>67</v>
      </c>
      <c r="AE23" s="19">
        <v>63</v>
      </c>
      <c r="AF23" s="19">
        <v>94.03</v>
      </c>
      <c r="AG23" s="19">
        <v>33</v>
      </c>
      <c r="AH23" s="19">
        <v>86</v>
      </c>
      <c r="AI23" s="19">
        <v>119</v>
      </c>
      <c r="AJ23" s="19">
        <v>6</v>
      </c>
      <c r="AK23" s="19">
        <v>8</v>
      </c>
      <c r="AL23" s="19">
        <v>2</v>
      </c>
      <c r="AM23" s="19">
        <v>36</v>
      </c>
      <c r="AN23" s="19">
        <v>36</v>
      </c>
      <c r="AO23" s="19">
        <v>100</v>
      </c>
      <c r="AP23" s="15">
        <v>12</v>
      </c>
      <c r="AQ23" s="15">
        <v>1</v>
      </c>
      <c r="AR23" s="16">
        <v>4</v>
      </c>
      <c r="AS23" s="16"/>
      <c r="AT23" s="16">
        <v>22</v>
      </c>
      <c r="AU23" s="16"/>
      <c r="AV23" s="15">
        <v>23</v>
      </c>
      <c r="AW23" s="15">
        <v>1</v>
      </c>
      <c r="AX23" s="16">
        <v>20</v>
      </c>
      <c r="AY23" s="16"/>
      <c r="AZ23" s="16">
        <v>35</v>
      </c>
      <c r="BA23" s="16"/>
      <c r="BB23" s="16">
        <v>29</v>
      </c>
      <c r="BC23" s="16"/>
      <c r="BD23" s="16">
        <v>30</v>
      </c>
      <c r="BE23" s="16"/>
      <c r="BF23" s="16">
        <v>12</v>
      </c>
      <c r="BG23" s="16">
        <v>9</v>
      </c>
      <c r="BH23" s="16">
        <v>21</v>
      </c>
      <c r="BI23" s="16">
        <v>9</v>
      </c>
      <c r="BJ23" s="16">
        <v>9</v>
      </c>
      <c r="BK23" s="16">
        <v>18</v>
      </c>
      <c r="BL23" s="16">
        <v>9</v>
      </c>
      <c r="BM23" s="16">
        <v>14</v>
      </c>
      <c r="BN23" s="16">
        <v>3</v>
      </c>
      <c r="BO23" s="16">
        <v>3</v>
      </c>
      <c r="BP23" s="16">
        <v>4</v>
      </c>
      <c r="BQ23" s="16">
        <v>33</v>
      </c>
      <c r="BR23" s="16">
        <v>3</v>
      </c>
      <c r="BS23" s="16">
        <v>0</v>
      </c>
      <c r="BT23" s="16">
        <v>83</v>
      </c>
      <c r="BU23" s="16">
        <v>138</v>
      </c>
      <c r="BV23" s="16">
        <v>221</v>
      </c>
      <c r="BW23" s="16">
        <v>24</v>
      </c>
      <c r="BX23" s="16">
        <v>4</v>
      </c>
      <c r="BY23" s="16">
        <v>16</v>
      </c>
      <c r="BZ23" s="16">
        <v>360</v>
      </c>
      <c r="CA23" s="19">
        <v>1</v>
      </c>
      <c r="CB23" s="19">
        <v>2</v>
      </c>
      <c r="CC23" s="19">
        <v>0</v>
      </c>
      <c r="CD23" s="39">
        <v>71</v>
      </c>
      <c r="CE23" s="39">
        <v>311</v>
      </c>
      <c r="CF23" s="39">
        <v>382</v>
      </c>
      <c r="CG23" s="39">
        <v>8</v>
      </c>
      <c r="CH23" s="39">
        <v>12</v>
      </c>
      <c r="CI23" s="39">
        <v>13</v>
      </c>
      <c r="CJ23" s="39">
        <v>4</v>
      </c>
      <c r="CK23" s="39">
        <v>67</v>
      </c>
      <c r="CL23" s="39">
        <v>63</v>
      </c>
      <c r="CM23" s="39" t="s">
        <v>131</v>
      </c>
      <c r="CN23" s="19">
        <v>12</v>
      </c>
      <c r="CO23" s="19">
        <v>68</v>
      </c>
      <c r="CP23" s="19">
        <v>80</v>
      </c>
      <c r="CQ23" s="19">
        <v>5</v>
      </c>
      <c r="CR23" s="19">
        <v>3</v>
      </c>
      <c r="CS23" s="19">
        <v>3</v>
      </c>
      <c r="CT23" s="19">
        <v>19</v>
      </c>
      <c r="CU23" s="19">
        <v>19</v>
      </c>
      <c r="CV23" s="19">
        <v>100</v>
      </c>
      <c r="CW23" s="19">
        <f t="shared" si="5"/>
        <v>4</v>
      </c>
      <c r="CX23" s="19">
        <f t="shared" si="6"/>
        <v>4</v>
      </c>
      <c r="CY23" s="19">
        <f t="shared" si="7"/>
        <v>0</v>
      </c>
      <c r="CZ23" s="19">
        <f t="shared" si="8"/>
        <v>0</v>
      </c>
    </row>
    <row r="24" spans="1:104" ht="15.75" customHeight="1" x14ac:dyDescent="0.35">
      <c r="A24" s="15" t="s">
        <v>132</v>
      </c>
      <c r="B24" s="16">
        <v>1</v>
      </c>
      <c r="C24" s="15" t="s">
        <v>105</v>
      </c>
      <c r="D24" s="16">
        <v>5</v>
      </c>
      <c r="E24" s="15">
        <v>0</v>
      </c>
      <c r="F24" s="15" t="s">
        <v>123</v>
      </c>
      <c r="G24" s="15" t="s">
        <v>107</v>
      </c>
      <c r="H24" s="15">
        <v>1</v>
      </c>
      <c r="I24" s="15">
        <v>1</v>
      </c>
      <c r="J24" s="17"/>
      <c r="K24" s="16">
        <v>3</v>
      </c>
      <c r="L24" s="16">
        <v>0</v>
      </c>
      <c r="M24" s="16">
        <v>81</v>
      </c>
      <c r="N24" s="16">
        <v>107</v>
      </c>
      <c r="O24" s="16">
        <v>188</v>
      </c>
      <c r="P24" s="16">
        <v>22</v>
      </c>
      <c r="Q24" s="16">
        <v>5</v>
      </c>
      <c r="R24" s="16">
        <v>11</v>
      </c>
      <c r="S24" s="16">
        <v>330</v>
      </c>
      <c r="T24" s="19">
        <v>2</v>
      </c>
      <c r="U24" s="19">
        <v>4</v>
      </c>
      <c r="V24" s="19">
        <v>1</v>
      </c>
      <c r="W24" s="19">
        <v>65</v>
      </c>
      <c r="X24" s="19">
        <v>311</v>
      </c>
      <c r="Y24" s="19">
        <v>376</v>
      </c>
      <c r="Z24" s="19">
        <v>8</v>
      </c>
      <c r="AA24" s="19">
        <v>11</v>
      </c>
      <c r="AB24" s="19">
        <v>14</v>
      </c>
      <c r="AC24" s="19">
        <v>3</v>
      </c>
      <c r="AD24" s="19">
        <v>77</v>
      </c>
      <c r="AE24" s="19">
        <v>63</v>
      </c>
      <c r="AF24" s="19">
        <v>81.819999999999993</v>
      </c>
      <c r="AG24" s="19">
        <v>10</v>
      </c>
      <c r="AH24" s="19">
        <v>88</v>
      </c>
      <c r="AI24" s="19">
        <v>98</v>
      </c>
      <c r="AJ24" s="19">
        <v>5</v>
      </c>
      <c r="AK24" s="19">
        <v>6</v>
      </c>
      <c r="AL24" s="19">
        <v>2</v>
      </c>
      <c r="AM24" s="19">
        <v>28</v>
      </c>
      <c r="AN24" s="19">
        <v>28</v>
      </c>
      <c r="AO24" s="19">
        <v>100</v>
      </c>
      <c r="AP24" s="16">
        <v>12</v>
      </c>
      <c r="AQ24" s="16"/>
      <c r="AR24" s="16">
        <v>3</v>
      </c>
      <c r="AS24" s="16"/>
      <c r="AT24" s="16">
        <v>18</v>
      </c>
      <c r="AU24" s="16"/>
      <c r="AV24" s="16">
        <v>18</v>
      </c>
      <c r="AW24" s="16"/>
      <c r="AX24" s="16">
        <v>27</v>
      </c>
      <c r="AY24" s="16"/>
      <c r="AZ24" s="16">
        <v>35</v>
      </c>
      <c r="BA24" s="16"/>
      <c r="BB24" s="16">
        <v>31</v>
      </c>
      <c r="BC24" s="16"/>
      <c r="BD24" s="16">
        <v>43</v>
      </c>
      <c r="BE24" s="16"/>
      <c r="BF24" s="16">
        <v>14</v>
      </c>
      <c r="BG24" s="16">
        <v>8</v>
      </c>
      <c r="BH24" s="16">
        <v>22</v>
      </c>
      <c r="BI24" s="16">
        <v>12</v>
      </c>
      <c r="BJ24" s="16">
        <v>9</v>
      </c>
      <c r="BK24" s="16">
        <v>21</v>
      </c>
      <c r="BL24" s="16">
        <v>10</v>
      </c>
      <c r="BM24" s="16">
        <v>16</v>
      </c>
      <c r="BN24" s="16">
        <v>11</v>
      </c>
      <c r="BO24" s="16">
        <v>8</v>
      </c>
      <c r="BP24" s="16">
        <v>4</v>
      </c>
      <c r="BQ24" s="16">
        <v>49</v>
      </c>
      <c r="BR24" s="16">
        <v>0</v>
      </c>
      <c r="BS24" s="16">
        <v>0</v>
      </c>
      <c r="BT24" s="16">
        <v>94</v>
      </c>
      <c r="BU24" s="16">
        <v>146</v>
      </c>
      <c r="BV24" s="16">
        <v>240</v>
      </c>
      <c r="BW24" s="16">
        <v>27</v>
      </c>
      <c r="BX24" s="16">
        <v>2</v>
      </c>
      <c r="BY24" s="16">
        <v>20</v>
      </c>
      <c r="BZ24" s="16">
        <v>313</v>
      </c>
      <c r="CA24" s="40">
        <v>2</v>
      </c>
      <c r="CB24" s="40">
        <v>3</v>
      </c>
      <c r="CC24" s="40">
        <v>2</v>
      </c>
      <c r="CD24" s="40">
        <v>39</v>
      </c>
      <c r="CE24" s="40">
        <v>167</v>
      </c>
      <c r="CF24" s="40">
        <v>206</v>
      </c>
      <c r="CG24" s="40">
        <v>8</v>
      </c>
      <c r="CH24" s="40">
        <v>8</v>
      </c>
      <c r="CI24" s="40">
        <v>16</v>
      </c>
      <c r="CJ24" s="40">
        <v>0</v>
      </c>
      <c r="CK24" s="40">
        <v>65</v>
      </c>
      <c r="CL24" s="40">
        <v>61</v>
      </c>
      <c r="CM24" s="40">
        <v>93.85</v>
      </c>
      <c r="CN24" s="40">
        <v>10</v>
      </c>
      <c r="CO24" s="40">
        <v>72</v>
      </c>
      <c r="CP24" s="40">
        <v>82</v>
      </c>
      <c r="CQ24" s="40">
        <v>7</v>
      </c>
      <c r="CR24" s="40">
        <v>7</v>
      </c>
      <c r="CS24" s="40">
        <v>3</v>
      </c>
      <c r="CT24" s="40">
        <v>36</v>
      </c>
      <c r="CU24" s="40">
        <v>34</v>
      </c>
      <c r="CV24" s="40">
        <v>94.44</v>
      </c>
      <c r="CW24" s="19">
        <f t="shared" si="5"/>
        <v>14</v>
      </c>
      <c r="CX24" s="19">
        <f t="shared" si="6"/>
        <v>4</v>
      </c>
      <c r="CY24" s="19">
        <f t="shared" si="7"/>
        <v>0</v>
      </c>
      <c r="CZ24" s="19">
        <f t="shared" si="8"/>
        <v>2</v>
      </c>
    </row>
    <row r="25" spans="1:104" ht="15.75" customHeight="1" x14ac:dyDescent="0.35">
      <c r="A25" s="15" t="s">
        <v>133</v>
      </c>
      <c r="B25" s="16">
        <v>2</v>
      </c>
      <c r="C25" s="15" t="s">
        <v>109</v>
      </c>
      <c r="D25" s="16">
        <v>7</v>
      </c>
      <c r="E25" s="15">
        <v>2</v>
      </c>
      <c r="F25" s="15" t="s">
        <v>134</v>
      </c>
      <c r="G25" s="15" t="s">
        <v>107</v>
      </c>
      <c r="H25" s="15">
        <v>1</v>
      </c>
      <c r="I25" s="15">
        <v>2</v>
      </c>
      <c r="J25" s="17"/>
      <c r="K25" s="16">
        <v>4</v>
      </c>
      <c r="L25" s="16">
        <v>4</v>
      </c>
      <c r="M25" s="16">
        <v>90</v>
      </c>
      <c r="N25" s="16">
        <v>115</v>
      </c>
      <c r="O25" s="16">
        <v>205</v>
      </c>
      <c r="P25" s="16">
        <v>25</v>
      </c>
      <c r="Q25" s="16">
        <v>4</v>
      </c>
      <c r="R25" s="16">
        <v>28</v>
      </c>
      <c r="S25" s="16">
        <v>370</v>
      </c>
      <c r="T25" s="19">
        <v>4</v>
      </c>
      <c r="U25" s="19">
        <v>6</v>
      </c>
      <c r="V25" s="19">
        <v>3</v>
      </c>
      <c r="W25" s="19">
        <v>55</v>
      </c>
      <c r="X25" s="19">
        <v>152</v>
      </c>
      <c r="Y25" s="19">
        <v>207</v>
      </c>
      <c r="Z25" s="19">
        <v>8</v>
      </c>
      <c r="AA25" s="19">
        <v>9</v>
      </c>
      <c r="AB25" s="19">
        <v>15</v>
      </c>
      <c r="AC25" s="19">
        <v>1</v>
      </c>
      <c r="AD25" s="19">
        <v>80</v>
      </c>
      <c r="AE25" s="19">
        <v>60</v>
      </c>
      <c r="AF25" s="19">
        <v>75</v>
      </c>
      <c r="AG25" s="19">
        <v>0</v>
      </c>
      <c r="AH25" s="19">
        <v>0</v>
      </c>
      <c r="AI25" s="19">
        <v>0</v>
      </c>
      <c r="AJ25" s="19">
        <v>2</v>
      </c>
      <c r="AK25" s="19">
        <v>0</v>
      </c>
      <c r="AL25" s="19">
        <v>2</v>
      </c>
      <c r="AM25" s="19">
        <v>0</v>
      </c>
      <c r="AN25" s="19">
        <v>0</v>
      </c>
      <c r="AO25" s="19">
        <v>81.819999999999993</v>
      </c>
      <c r="AP25" s="16">
        <v>26</v>
      </c>
      <c r="AQ25" s="16"/>
      <c r="AR25" s="16">
        <v>53</v>
      </c>
      <c r="AS25" s="16"/>
      <c r="AT25" s="16">
        <v>37</v>
      </c>
      <c r="AU25" s="16"/>
      <c r="AV25" s="16">
        <v>28</v>
      </c>
      <c r="AW25" s="16"/>
      <c r="AX25" s="16">
        <v>33</v>
      </c>
      <c r="AY25" s="16"/>
      <c r="AZ25" s="16">
        <v>39</v>
      </c>
      <c r="BA25" s="16"/>
      <c r="BB25" s="16">
        <v>41</v>
      </c>
      <c r="BC25" s="16"/>
      <c r="BD25" s="16">
        <v>33</v>
      </c>
      <c r="BE25" s="16"/>
      <c r="BF25" s="16">
        <v>18</v>
      </c>
      <c r="BG25" s="16">
        <v>12</v>
      </c>
      <c r="BH25" s="16">
        <v>30</v>
      </c>
      <c r="BI25" s="16">
        <v>13</v>
      </c>
      <c r="BJ25" s="16">
        <v>13</v>
      </c>
      <c r="BK25" s="16">
        <v>26</v>
      </c>
      <c r="BL25" s="16">
        <v>7</v>
      </c>
      <c r="BM25" s="16">
        <v>12</v>
      </c>
      <c r="BN25" s="16">
        <v>14</v>
      </c>
      <c r="BO25" s="16">
        <v>11</v>
      </c>
      <c r="BP25" s="16">
        <v>8</v>
      </c>
      <c r="BQ25" s="16">
        <v>52</v>
      </c>
      <c r="BR25" s="16">
        <v>5</v>
      </c>
      <c r="BS25" s="16">
        <v>3</v>
      </c>
      <c r="BT25" s="16">
        <v>120</v>
      </c>
      <c r="BU25" s="16">
        <v>119</v>
      </c>
      <c r="BV25" s="16">
        <v>239</v>
      </c>
      <c r="BW25" s="16">
        <v>25</v>
      </c>
      <c r="BX25" s="16">
        <v>1</v>
      </c>
      <c r="BY25" s="16">
        <v>31</v>
      </c>
      <c r="BZ25" s="16">
        <v>370</v>
      </c>
      <c r="CA25" s="19">
        <v>3</v>
      </c>
      <c r="CB25" s="19">
        <v>5</v>
      </c>
      <c r="CC25" s="19">
        <v>3</v>
      </c>
      <c r="CD25" s="19">
        <v>58</v>
      </c>
      <c r="CE25" s="19">
        <v>247</v>
      </c>
      <c r="CF25" s="19">
        <v>305</v>
      </c>
      <c r="CG25" s="19">
        <v>8</v>
      </c>
      <c r="CH25" s="19">
        <v>9</v>
      </c>
      <c r="CI25" s="19">
        <v>15</v>
      </c>
      <c r="CJ25" s="19">
        <v>1</v>
      </c>
      <c r="CK25" s="19">
        <v>105</v>
      </c>
      <c r="CL25" s="19">
        <v>61</v>
      </c>
      <c r="CM25" s="19">
        <v>58.1</v>
      </c>
      <c r="CN25" s="20">
        <v>34680</v>
      </c>
      <c r="CO25" s="20">
        <v>-34619</v>
      </c>
      <c r="CP25" s="19">
        <v>61</v>
      </c>
      <c r="CQ25" s="19">
        <v>4</v>
      </c>
      <c r="CR25" s="19">
        <v>4</v>
      </c>
      <c r="CS25" s="19">
        <v>2</v>
      </c>
      <c r="CT25" s="19">
        <v>24</v>
      </c>
      <c r="CU25" s="19">
        <v>18</v>
      </c>
      <c r="CV25" s="19">
        <v>75</v>
      </c>
      <c r="CW25" s="19">
        <f t="shared" si="5"/>
        <v>20</v>
      </c>
      <c r="CX25" s="52">
        <f t="shared" si="6"/>
        <v>44</v>
      </c>
      <c r="CY25" s="19">
        <f t="shared" si="7"/>
        <v>0</v>
      </c>
      <c r="CZ25" s="19">
        <f t="shared" si="8"/>
        <v>6</v>
      </c>
    </row>
    <row r="26" spans="1:104" ht="15.75" customHeight="1" x14ac:dyDescent="0.35">
      <c r="A26" s="15" t="s">
        <v>135</v>
      </c>
      <c r="B26" s="16">
        <v>2</v>
      </c>
      <c r="C26" s="15" t="s">
        <v>105</v>
      </c>
      <c r="D26" s="16">
        <v>7</v>
      </c>
      <c r="E26" s="15">
        <v>2</v>
      </c>
      <c r="F26" s="15" t="s">
        <v>134</v>
      </c>
      <c r="G26" s="15" t="s">
        <v>107</v>
      </c>
      <c r="H26" s="15">
        <v>1</v>
      </c>
      <c r="I26" s="15">
        <v>2</v>
      </c>
      <c r="J26" s="17"/>
      <c r="K26" s="16">
        <v>4</v>
      </c>
      <c r="L26" s="16">
        <v>5</v>
      </c>
      <c r="M26" s="16">
        <v>52</v>
      </c>
      <c r="N26" s="16">
        <v>99</v>
      </c>
      <c r="O26" s="16">
        <v>151</v>
      </c>
      <c r="P26" s="16">
        <v>29</v>
      </c>
      <c r="Q26" s="16">
        <v>4</v>
      </c>
      <c r="R26" s="16">
        <v>25</v>
      </c>
      <c r="S26" s="16">
        <v>300</v>
      </c>
      <c r="T26" s="19">
        <v>5</v>
      </c>
      <c r="U26" s="19">
        <v>8</v>
      </c>
      <c r="V26" s="19">
        <v>6</v>
      </c>
      <c r="W26" s="19">
        <v>27</v>
      </c>
      <c r="X26" s="19">
        <v>132</v>
      </c>
      <c r="Y26" s="19">
        <v>159</v>
      </c>
      <c r="Z26" s="19">
        <v>8</v>
      </c>
      <c r="AA26" s="19">
        <v>8</v>
      </c>
      <c r="AB26" s="19">
        <v>16</v>
      </c>
      <c r="AC26" s="19">
        <v>0</v>
      </c>
      <c r="AD26" s="19">
        <v>77</v>
      </c>
      <c r="AE26" s="19">
        <v>61</v>
      </c>
      <c r="AF26" s="19">
        <v>79.22</v>
      </c>
      <c r="AG26" s="19">
        <v>35</v>
      </c>
      <c r="AH26" s="19">
        <v>31</v>
      </c>
      <c r="AI26" s="19">
        <v>66</v>
      </c>
      <c r="AJ26" s="19">
        <v>8</v>
      </c>
      <c r="AK26" s="19">
        <v>6</v>
      </c>
      <c r="AL26" s="19">
        <v>4</v>
      </c>
      <c r="AM26" s="19">
        <v>40</v>
      </c>
      <c r="AN26" s="19">
        <v>38</v>
      </c>
      <c r="AO26" s="19">
        <v>95</v>
      </c>
      <c r="AP26" s="16">
        <v>45</v>
      </c>
      <c r="AQ26" s="16"/>
      <c r="AR26" s="16">
        <v>58</v>
      </c>
      <c r="AS26" s="16"/>
      <c r="AT26" s="16">
        <v>58</v>
      </c>
      <c r="AU26" s="16"/>
      <c r="AV26" s="16">
        <v>48</v>
      </c>
      <c r="AW26" s="16"/>
      <c r="AX26" s="16">
        <v>51</v>
      </c>
      <c r="AY26" s="16"/>
      <c r="AZ26" s="16">
        <v>57</v>
      </c>
      <c r="BA26" s="16"/>
      <c r="BB26" s="16">
        <v>63</v>
      </c>
      <c r="BC26" s="16"/>
      <c r="BD26" s="16">
        <v>60</v>
      </c>
      <c r="BE26" s="16"/>
      <c r="BF26" s="16">
        <v>8</v>
      </c>
      <c r="BG26" s="16">
        <v>5</v>
      </c>
      <c r="BH26" s="16">
        <v>13</v>
      </c>
      <c r="BI26" s="16">
        <v>8</v>
      </c>
      <c r="BJ26" s="16">
        <v>8</v>
      </c>
      <c r="BK26" s="16">
        <v>16</v>
      </c>
      <c r="BL26" s="16">
        <v>4</v>
      </c>
      <c r="BM26" s="16">
        <v>8</v>
      </c>
      <c r="BN26" s="16">
        <v>8</v>
      </c>
      <c r="BO26" s="16">
        <v>6</v>
      </c>
      <c r="BP26" s="16">
        <v>5</v>
      </c>
      <c r="BQ26" s="16">
        <v>31</v>
      </c>
      <c r="BR26" s="16">
        <v>5</v>
      </c>
      <c r="BS26" s="16">
        <v>0</v>
      </c>
      <c r="BT26" s="16">
        <v>50</v>
      </c>
      <c r="BU26" s="16">
        <v>102</v>
      </c>
      <c r="BV26" s="16">
        <v>152</v>
      </c>
      <c r="BW26" s="16">
        <v>28</v>
      </c>
      <c r="BX26" s="16">
        <v>0</v>
      </c>
      <c r="BY26" s="16">
        <v>29</v>
      </c>
      <c r="BZ26" s="16">
        <v>325</v>
      </c>
      <c r="CA26" s="19">
        <v>3</v>
      </c>
      <c r="CB26" s="19">
        <v>4</v>
      </c>
      <c r="CC26" s="19">
        <v>4</v>
      </c>
      <c r="CD26" s="19">
        <v>30</v>
      </c>
      <c r="CE26" s="19">
        <v>119</v>
      </c>
      <c r="CF26" s="19">
        <v>149</v>
      </c>
      <c r="CG26" s="19">
        <v>8</v>
      </c>
      <c r="CH26" s="19">
        <v>8</v>
      </c>
      <c r="CI26" s="19">
        <v>16</v>
      </c>
      <c r="CJ26" s="19">
        <v>0</v>
      </c>
      <c r="CK26" s="19">
        <v>63</v>
      </c>
      <c r="CL26" s="19">
        <v>61</v>
      </c>
      <c r="CM26" s="19">
        <v>96.83</v>
      </c>
      <c r="CN26" s="19">
        <v>3</v>
      </c>
      <c r="CO26" s="19">
        <v>31</v>
      </c>
      <c r="CP26" s="19">
        <v>34</v>
      </c>
      <c r="CQ26" s="19">
        <v>4</v>
      </c>
      <c r="CR26" s="19">
        <v>4</v>
      </c>
      <c r="CS26" s="19">
        <v>2</v>
      </c>
      <c r="CT26" s="19">
        <v>20</v>
      </c>
      <c r="CU26" s="19">
        <v>18</v>
      </c>
      <c r="CV26" s="19">
        <v>90</v>
      </c>
      <c r="CW26" s="19">
        <f t="shared" si="5"/>
        <v>16</v>
      </c>
      <c r="CX26" s="19">
        <f t="shared" si="6"/>
        <v>2</v>
      </c>
      <c r="CY26" s="19">
        <f t="shared" si="7"/>
        <v>2</v>
      </c>
      <c r="CZ26" s="19">
        <f t="shared" si="8"/>
        <v>2</v>
      </c>
    </row>
    <row r="27" spans="1:104" ht="15.75" customHeight="1" x14ac:dyDescent="0.35">
      <c r="A27" s="15" t="s">
        <v>136</v>
      </c>
      <c r="B27" s="16">
        <v>2</v>
      </c>
      <c r="C27" s="15" t="s">
        <v>105</v>
      </c>
      <c r="D27" s="16">
        <v>7</v>
      </c>
      <c r="E27" s="15">
        <v>2</v>
      </c>
      <c r="F27" s="15" t="s">
        <v>134</v>
      </c>
      <c r="G27" s="15" t="s">
        <v>107</v>
      </c>
      <c r="H27" s="15">
        <v>1</v>
      </c>
      <c r="I27" s="15">
        <v>2</v>
      </c>
      <c r="J27" s="17"/>
      <c r="K27" s="16">
        <v>3</v>
      </c>
      <c r="L27" s="16">
        <v>3</v>
      </c>
      <c r="M27" s="16">
        <v>17</v>
      </c>
      <c r="N27" s="16">
        <v>86</v>
      </c>
      <c r="O27" s="16">
        <v>103</v>
      </c>
      <c r="P27" s="16">
        <v>28</v>
      </c>
      <c r="Q27" s="16">
        <v>1</v>
      </c>
      <c r="R27" s="16">
        <v>26</v>
      </c>
      <c r="S27" s="16">
        <v>483</v>
      </c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16">
        <v>45</v>
      </c>
      <c r="AQ27" s="16"/>
      <c r="AR27" s="16">
        <v>58</v>
      </c>
      <c r="AS27" s="16"/>
      <c r="AT27" s="16">
        <v>58</v>
      </c>
      <c r="AU27" s="16"/>
      <c r="AV27" s="16">
        <v>48</v>
      </c>
      <c r="AW27" s="16"/>
      <c r="AX27" s="16">
        <v>51</v>
      </c>
      <c r="AY27" s="16"/>
      <c r="AZ27" s="16">
        <v>57</v>
      </c>
      <c r="BA27" s="16"/>
      <c r="BB27" s="16">
        <v>63</v>
      </c>
      <c r="BC27" s="16"/>
      <c r="BD27" s="16">
        <v>60</v>
      </c>
      <c r="BE27" s="16"/>
      <c r="BF27" s="16">
        <v>8</v>
      </c>
      <c r="BG27" s="16">
        <v>5</v>
      </c>
      <c r="BH27" s="16">
        <v>13</v>
      </c>
      <c r="BI27" s="16">
        <v>8</v>
      </c>
      <c r="BJ27" s="16">
        <v>8</v>
      </c>
      <c r="BK27" s="16">
        <v>16</v>
      </c>
      <c r="BL27" s="16">
        <v>4</v>
      </c>
      <c r="BM27" s="16">
        <v>8</v>
      </c>
      <c r="BN27" s="16">
        <v>8</v>
      </c>
      <c r="BO27" s="16">
        <v>6</v>
      </c>
      <c r="BP27" s="16">
        <v>5</v>
      </c>
      <c r="BQ27" s="16">
        <v>31</v>
      </c>
      <c r="BR27" s="16">
        <v>4</v>
      </c>
      <c r="BS27" s="16">
        <v>3</v>
      </c>
      <c r="BT27" s="16">
        <v>51</v>
      </c>
      <c r="BU27" s="16">
        <v>86</v>
      </c>
      <c r="BV27" s="16">
        <v>137</v>
      </c>
      <c r="BW27" s="16">
        <v>24</v>
      </c>
      <c r="BX27" s="16">
        <v>0</v>
      </c>
      <c r="BY27" s="16">
        <v>29</v>
      </c>
      <c r="BZ27" s="16">
        <v>327</v>
      </c>
      <c r="CA27" s="40">
        <v>4</v>
      </c>
      <c r="CB27" s="40">
        <v>5</v>
      </c>
      <c r="CC27" s="40">
        <v>4</v>
      </c>
      <c r="CD27" s="40">
        <v>24</v>
      </c>
      <c r="CE27" s="40">
        <v>123</v>
      </c>
      <c r="CF27" s="40">
        <v>147</v>
      </c>
      <c r="CG27" s="40">
        <v>8</v>
      </c>
      <c r="CH27" s="40">
        <v>8</v>
      </c>
      <c r="CI27" s="40">
        <v>16</v>
      </c>
      <c r="CJ27" s="40">
        <v>0</v>
      </c>
      <c r="CK27" s="40">
        <v>69</v>
      </c>
      <c r="CL27" s="40">
        <v>61</v>
      </c>
      <c r="CM27" s="40">
        <v>88.41</v>
      </c>
      <c r="CN27" s="40">
        <v>25</v>
      </c>
      <c r="CO27" s="40">
        <v>18</v>
      </c>
      <c r="CP27" s="40">
        <v>43</v>
      </c>
      <c r="CQ27" s="40">
        <v>4</v>
      </c>
      <c r="CR27" s="40">
        <v>4</v>
      </c>
      <c r="CS27" s="40">
        <v>2</v>
      </c>
      <c r="CT27" s="40">
        <v>24</v>
      </c>
      <c r="CU27" s="40">
        <v>18</v>
      </c>
      <c r="CV27" s="40">
        <v>75</v>
      </c>
      <c r="CW27" s="19">
        <f t="shared" si="5"/>
        <v>0</v>
      </c>
      <c r="CX27" s="19">
        <f t="shared" si="6"/>
        <v>8</v>
      </c>
      <c r="CY27" s="19">
        <f t="shared" si="7"/>
        <v>0</v>
      </c>
      <c r="CZ27" s="19">
        <f t="shared" si="8"/>
        <v>6</v>
      </c>
    </row>
    <row r="28" spans="1:104" ht="15.75" customHeight="1" x14ac:dyDescent="0.35">
      <c r="A28" s="15" t="s">
        <v>137</v>
      </c>
      <c r="B28" s="16">
        <v>2</v>
      </c>
      <c r="C28" s="15" t="s">
        <v>105</v>
      </c>
      <c r="D28" s="16">
        <v>7</v>
      </c>
      <c r="E28" s="15">
        <v>2</v>
      </c>
      <c r="F28" s="15" t="s">
        <v>134</v>
      </c>
      <c r="G28" s="15" t="s">
        <v>107</v>
      </c>
      <c r="H28" s="15">
        <v>1</v>
      </c>
      <c r="I28" s="15">
        <v>2</v>
      </c>
      <c r="J28" s="17"/>
      <c r="K28" s="16">
        <v>4</v>
      </c>
      <c r="L28" s="16">
        <v>5</v>
      </c>
      <c r="M28" s="16">
        <v>71</v>
      </c>
      <c r="N28" s="16">
        <v>119</v>
      </c>
      <c r="O28" s="16">
        <v>190</v>
      </c>
      <c r="P28" s="16">
        <v>25</v>
      </c>
      <c r="Q28" s="16">
        <v>4</v>
      </c>
      <c r="R28" s="16">
        <v>32</v>
      </c>
      <c r="S28" s="16">
        <v>360</v>
      </c>
      <c r="T28" s="19">
        <v>3</v>
      </c>
      <c r="U28" s="19">
        <v>4</v>
      </c>
      <c r="V28" s="19">
        <v>4</v>
      </c>
      <c r="W28" s="19">
        <v>61</v>
      </c>
      <c r="X28" s="19">
        <v>207</v>
      </c>
      <c r="Y28" s="19">
        <v>268</v>
      </c>
      <c r="Z28" s="19">
        <v>8</v>
      </c>
      <c r="AA28" s="19">
        <v>8</v>
      </c>
      <c r="AB28" s="19">
        <v>16</v>
      </c>
      <c r="AC28" s="19">
        <v>0</v>
      </c>
      <c r="AD28" s="19">
        <v>81</v>
      </c>
      <c r="AE28" s="19">
        <v>61</v>
      </c>
      <c r="AF28" s="19">
        <v>75.31</v>
      </c>
      <c r="AG28" s="19">
        <v>24</v>
      </c>
      <c r="AH28" s="19">
        <v>102</v>
      </c>
      <c r="AI28" s="19">
        <v>126</v>
      </c>
      <c r="AJ28" s="19">
        <v>8</v>
      </c>
      <c r="AK28" s="19">
        <v>9</v>
      </c>
      <c r="AL28" s="19">
        <v>3</v>
      </c>
      <c r="AM28" s="19">
        <v>53</v>
      </c>
      <c r="AN28" s="19">
        <v>47</v>
      </c>
      <c r="AO28" s="19">
        <v>88.68</v>
      </c>
      <c r="AP28" s="16">
        <v>45</v>
      </c>
      <c r="AQ28" s="16"/>
      <c r="AR28" s="16">
        <v>58</v>
      </c>
      <c r="AS28" s="16"/>
      <c r="AT28" s="16">
        <v>56</v>
      </c>
      <c r="AU28" s="16"/>
      <c r="AV28" s="16">
        <v>47</v>
      </c>
      <c r="AW28" s="16"/>
      <c r="AX28" s="16">
        <v>50</v>
      </c>
      <c r="AY28" s="16"/>
      <c r="AZ28" s="16">
        <v>57</v>
      </c>
      <c r="BA28" s="16"/>
      <c r="BB28" s="16">
        <v>63</v>
      </c>
      <c r="BC28" s="16"/>
      <c r="BD28" s="16">
        <v>60</v>
      </c>
      <c r="BE28" s="16"/>
      <c r="BF28" s="16">
        <v>8</v>
      </c>
      <c r="BG28" s="16">
        <v>5</v>
      </c>
      <c r="BH28" s="16">
        <v>13</v>
      </c>
      <c r="BI28" s="16">
        <v>8</v>
      </c>
      <c r="BJ28" s="16">
        <v>8</v>
      </c>
      <c r="BK28" s="16">
        <v>16</v>
      </c>
      <c r="BL28" s="16">
        <v>4</v>
      </c>
      <c r="BM28" s="16">
        <v>8</v>
      </c>
      <c r="BN28" s="16">
        <v>8</v>
      </c>
      <c r="BO28" s="16">
        <v>6</v>
      </c>
      <c r="BP28" s="16">
        <v>5</v>
      </c>
      <c r="BQ28" s="16">
        <v>31</v>
      </c>
      <c r="BR28" s="16">
        <v>5</v>
      </c>
      <c r="BS28" s="16">
        <v>4</v>
      </c>
      <c r="BT28" s="16">
        <v>48</v>
      </c>
      <c r="BU28" s="16">
        <v>89</v>
      </c>
      <c r="BV28" s="16">
        <v>137</v>
      </c>
      <c r="BW28" s="16">
        <v>28</v>
      </c>
      <c r="BX28" s="16">
        <v>0</v>
      </c>
      <c r="BY28" s="16">
        <v>31</v>
      </c>
      <c r="BZ28" s="16">
        <v>245</v>
      </c>
      <c r="CA28" s="40">
        <v>4</v>
      </c>
      <c r="CB28" s="40">
        <v>5</v>
      </c>
      <c r="CC28" s="40">
        <v>2</v>
      </c>
      <c r="CD28" s="40">
        <v>29</v>
      </c>
      <c r="CE28" s="40">
        <v>105</v>
      </c>
      <c r="CF28" s="40">
        <v>134</v>
      </c>
      <c r="CG28" s="40">
        <v>8</v>
      </c>
      <c r="CH28" s="40">
        <v>9</v>
      </c>
      <c r="CI28" s="40">
        <v>15</v>
      </c>
      <c r="CJ28" s="40">
        <v>1</v>
      </c>
      <c r="CK28" s="40">
        <v>63</v>
      </c>
      <c r="CL28" s="40">
        <v>61</v>
      </c>
      <c r="CM28" s="40">
        <v>96.83</v>
      </c>
      <c r="CN28" s="40">
        <v>73</v>
      </c>
      <c r="CO28" s="40">
        <v>140</v>
      </c>
      <c r="CP28" s="40">
        <v>213</v>
      </c>
      <c r="CQ28" s="40">
        <v>11</v>
      </c>
      <c r="CR28" s="40">
        <v>12</v>
      </c>
      <c r="CS28" s="40">
        <v>4</v>
      </c>
      <c r="CT28" s="40">
        <v>92</v>
      </c>
      <c r="CU28" s="40">
        <v>64</v>
      </c>
      <c r="CV28" s="40">
        <v>69.569999999999993</v>
      </c>
      <c r="CW28" s="19">
        <f t="shared" si="5"/>
        <v>20</v>
      </c>
      <c r="CX28" s="19">
        <f t="shared" si="6"/>
        <v>2</v>
      </c>
      <c r="CY28" s="19">
        <f t="shared" si="7"/>
        <v>6</v>
      </c>
      <c r="CZ28" s="52">
        <f t="shared" si="8"/>
        <v>28</v>
      </c>
    </row>
    <row r="29" spans="1:104" ht="15.75" customHeight="1" x14ac:dyDescent="0.35">
      <c r="A29" s="15" t="s">
        <v>138</v>
      </c>
      <c r="B29" s="16">
        <v>2</v>
      </c>
      <c r="C29" s="15" t="s">
        <v>109</v>
      </c>
      <c r="D29" s="16">
        <v>7</v>
      </c>
      <c r="E29" s="15">
        <v>2</v>
      </c>
      <c r="F29" s="15" t="s">
        <v>134</v>
      </c>
      <c r="G29" s="15" t="s">
        <v>107</v>
      </c>
      <c r="H29" s="15">
        <v>1</v>
      </c>
      <c r="I29" s="15">
        <v>2</v>
      </c>
      <c r="J29" s="17"/>
      <c r="K29" s="16">
        <v>3</v>
      </c>
      <c r="L29" s="16">
        <v>3</v>
      </c>
      <c r="M29" s="16">
        <v>38</v>
      </c>
      <c r="N29" s="16">
        <v>107</v>
      </c>
      <c r="O29" s="16">
        <v>145</v>
      </c>
      <c r="P29" s="16">
        <v>26</v>
      </c>
      <c r="Q29" s="16">
        <v>1</v>
      </c>
      <c r="R29" s="16">
        <v>30</v>
      </c>
      <c r="S29" s="16">
        <v>580</v>
      </c>
      <c r="T29" s="40">
        <v>7</v>
      </c>
      <c r="U29" s="40">
        <v>7</v>
      </c>
      <c r="V29" s="40">
        <v>7</v>
      </c>
      <c r="W29" s="40">
        <v>40</v>
      </c>
      <c r="X29" s="40">
        <v>40</v>
      </c>
      <c r="Y29" s="40">
        <v>40</v>
      </c>
      <c r="Z29" s="40">
        <v>8</v>
      </c>
      <c r="AA29" s="40">
        <v>8</v>
      </c>
      <c r="AB29" s="40">
        <v>8</v>
      </c>
      <c r="AC29" s="40">
        <v>8</v>
      </c>
      <c r="AD29" s="40">
        <v>8</v>
      </c>
      <c r="AE29" s="40">
        <v>8</v>
      </c>
      <c r="AF29" s="40">
        <v>96.83</v>
      </c>
      <c r="AG29" s="40">
        <v>28</v>
      </c>
      <c r="AH29" s="40">
        <v>28</v>
      </c>
      <c r="AI29" s="40">
        <v>28</v>
      </c>
      <c r="AJ29" s="40">
        <v>7</v>
      </c>
      <c r="AK29" s="40">
        <v>7</v>
      </c>
      <c r="AL29" s="40">
        <v>7</v>
      </c>
      <c r="AM29" s="40">
        <v>7</v>
      </c>
      <c r="AN29" s="40">
        <v>7</v>
      </c>
      <c r="AO29" s="40">
        <v>7</v>
      </c>
      <c r="AP29" s="16">
        <v>43</v>
      </c>
      <c r="AQ29" s="16"/>
      <c r="AR29" s="16">
        <v>47</v>
      </c>
      <c r="AS29" s="16"/>
      <c r="AT29" s="16">
        <v>54</v>
      </c>
      <c r="AU29" s="16"/>
      <c r="AV29" s="16">
        <v>43</v>
      </c>
      <c r="AW29" s="16"/>
      <c r="AX29" s="16">
        <v>45</v>
      </c>
      <c r="AY29" s="16"/>
      <c r="AZ29" s="16">
        <v>51</v>
      </c>
      <c r="BA29" s="16"/>
      <c r="BB29" s="16">
        <v>54</v>
      </c>
      <c r="BC29" s="16"/>
      <c r="BD29" s="16">
        <v>49</v>
      </c>
      <c r="BE29" s="16"/>
      <c r="BF29" s="16">
        <v>12</v>
      </c>
      <c r="BG29" s="16">
        <v>7</v>
      </c>
      <c r="BH29" s="16">
        <v>19</v>
      </c>
      <c r="BI29" s="16">
        <v>11</v>
      </c>
      <c r="BJ29" s="16">
        <v>8</v>
      </c>
      <c r="BK29" s="16">
        <v>19</v>
      </c>
      <c r="BL29" s="16">
        <v>5</v>
      </c>
      <c r="BM29" s="16">
        <v>11</v>
      </c>
      <c r="BN29" s="16">
        <v>13</v>
      </c>
      <c r="BO29" s="16">
        <v>10</v>
      </c>
      <c r="BP29" s="16">
        <v>6</v>
      </c>
      <c r="BQ29" s="16">
        <v>45</v>
      </c>
      <c r="BR29" s="16">
        <v>4</v>
      </c>
      <c r="BS29" s="16">
        <v>3</v>
      </c>
      <c r="BT29" s="16">
        <v>65</v>
      </c>
      <c r="BU29" s="16">
        <v>112</v>
      </c>
      <c r="BV29" s="16">
        <v>177</v>
      </c>
      <c r="BW29" s="16">
        <v>32</v>
      </c>
      <c r="BX29" s="16">
        <v>0</v>
      </c>
      <c r="BY29" s="16">
        <v>27</v>
      </c>
      <c r="BZ29" s="16">
        <v>420</v>
      </c>
      <c r="CA29" s="19">
        <v>2</v>
      </c>
      <c r="CB29" s="19">
        <v>3</v>
      </c>
      <c r="CC29" s="19">
        <v>2</v>
      </c>
      <c r="CD29" s="40">
        <v>40</v>
      </c>
      <c r="CE29" s="40">
        <v>152</v>
      </c>
      <c r="CF29" s="40">
        <v>192</v>
      </c>
      <c r="CG29" s="40">
        <v>8</v>
      </c>
      <c r="CH29" s="40">
        <v>8</v>
      </c>
      <c r="CI29" s="40">
        <v>16</v>
      </c>
      <c r="CJ29" s="40">
        <v>0</v>
      </c>
      <c r="CK29" s="40">
        <v>63</v>
      </c>
      <c r="CL29" s="40">
        <v>61</v>
      </c>
      <c r="CM29" s="40">
        <v>96.83</v>
      </c>
      <c r="CN29" s="40">
        <v>14</v>
      </c>
      <c r="CO29" s="40">
        <v>70</v>
      </c>
      <c r="CP29" s="40">
        <v>84</v>
      </c>
      <c r="CQ29" s="40">
        <v>7</v>
      </c>
      <c r="CR29" s="40">
        <v>7</v>
      </c>
      <c r="CS29" s="40">
        <v>3</v>
      </c>
      <c r="CT29" s="40">
        <v>40</v>
      </c>
      <c r="CU29" s="40">
        <v>36</v>
      </c>
      <c r="CV29" s="40">
        <v>90</v>
      </c>
      <c r="CW29" s="19">
        <f t="shared" si="5"/>
        <v>0</v>
      </c>
      <c r="CX29" s="19">
        <f t="shared" si="6"/>
        <v>2</v>
      </c>
      <c r="CY29" s="19">
        <f t="shared" si="7"/>
        <v>0</v>
      </c>
      <c r="CZ29" s="19">
        <f t="shared" si="8"/>
        <v>4</v>
      </c>
    </row>
    <row r="30" spans="1:104" ht="15.75" customHeight="1" x14ac:dyDescent="0.35">
      <c r="A30" s="15" t="s">
        <v>139</v>
      </c>
      <c r="B30" s="16">
        <v>2</v>
      </c>
      <c r="C30" s="15" t="s">
        <v>109</v>
      </c>
      <c r="D30" s="16">
        <v>7</v>
      </c>
      <c r="E30" s="15">
        <v>2</v>
      </c>
      <c r="F30" s="15" t="s">
        <v>134</v>
      </c>
      <c r="G30" s="15" t="s">
        <v>107</v>
      </c>
      <c r="H30" s="15">
        <v>1</v>
      </c>
      <c r="I30" s="15">
        <v>2</v>
      </c>
      <c r="J30" s="17"/>
      <c r="K30" s="16">
        <v>5</v>
      </c>
      <c r="L30" s="16">
        <v>3</v>
      </c>
      <c r="M30" s="16">
        <v>95</v>
      </c>
      <c r="N30" s="16">
        <v>111</v>
      </c>
      <c r="O30" s="16">
        <v>206</v>
      </c>
      <c r="P30" s="16">
        <v>30</v>
      </c>
      <c r="Q30" s="16">
        <v>2</v>
      </c>
      <c r="R30" s="16">
        <v>27</v>
      </c>
      <c r="S30" s="16">
        <v>384</v>
      </c>
      <c r="T30" s="19">
        <v>3</v>
      </c>
      <c r="U30" s="19">
        <v>4</v>
      </c>
      <c r="V30" s="19">
        <v>2</v>
      </c>
      <c r="W30" s="19">
        <v>40</v>
      </c>
      <c r="X30" s="19">
        <v>126</v>
      </c>
      <c r="Y30" s="19">
        <v>166</v>
      </c>
      <c r="Z30" s="19">
        <v>8</v>
      </c>
      <c r="AA30" s="19">
        <v>8</v>
      </c>
      <c r="AB30" s="19">
        <v>16</v>
      </c>
      <c r="AC30" s="19">
        <v>0</v>
      </c>
      <c r="AD30" s="19">
        <v>63</v>
      </c>
      <c r="AE30" s="19">
        <v>61</v>
      </c>
      <c r="AF30" s="19">
        <v>96.83</v>
      </c>
      <c r="AG30" s="19">
        <v>39</v>
      </c>
      <c r="AH30" s="19">
        <v>47</v>
      </c>
      <c r="AI30" s="19">
        <v>86</v>
      </c>
      <c r="AJ30" s="19">
        <v>6</v>
      </c>
      <c r="AK30" s="19">
        <v>8</v>
      </c>
      <c r="AL30" s="19">
        <v>2</v>
      </c>
      <c r="AM30" s="19">
        <v>40</v>
      </c>
      <c r="AN30" s="19">
        <v>36</v>
      </c>
      <c r="AO30" s="19">
        <v>90</v>
      </c>
      <c r="AP30" s="16">
        <v>40</v>
      </c>
      <c r="AQ30" s="16"/>
      <c r="AR30" s="16">
        <v>47</v>
      </c>
      <c r="AS30" s="16"/>
      <c r="AT30" s="16">
        <v>54</v>
      </c>
      <c r="AU30" s="16"/>
      <c r="AV30" s="16">
        <v>43</v>
      </c>
      <c r="AW30" s="16"/>
      <c r="AX30" s="16">
        <v>45</v>
      </c>
      <c r="AY30" s="16"/>
      <c r="AZ30" s="16">
        <v>51</v>
      </c>
      <c r="BA30" s="16"/>
      <c r="BB30" s="16">
        <v>54</v>
      </c>
      <c r="BC30" s="16"/>
      <c r="BD30" s="16">
        <v>49</v>
      </c>
      <c r="BE30" s="16"/>
      <c r="BF30" s="16">
        <v>12</v>
      </c>
      <c r="BG30" s="16">
        <v>7</v>
      </c>
      <c r="BH30" s="16">
        <v>19</v>
      </c>
      <c r="BI30" s="16">
        <v>11</v>
      </c>
      <c r="BJ30" s="16">
        <v>8</v>
      </c>
      <c r="BK30" s="16">
        <v>19</v>
      </c>
      <c r="BL30" s="16">
        <v>5</v>
      </c>
      <c r="BM30" s="16">
        <v>11</v>
      </c>
      <c r="BN30" s="16">
        <v>13</v>
      </c>
      <c r="BO30" s="16">
        <v>10</v>
      </c>
      <c r="BP30" s="16">
        <v>6</v>
      </c>
      <c r="BQ30" s="16">
        <v>45</v>
      </c>
      <c r="BR30" s="16">
        <v>4</v>
      </c>
      <c r="BS30" s="16">
        <v>0</v>
      </c>
      <c r="BT30" s="16">
        <v>74</v>
      </c>
      <c r="BU30" s="16">
        <v>117</v>
      </c>
      <c r="BV30" s="16">
        <v>191</v>
      </c>
      <c r="BW30" s="16">
        <v>34</v>
      </c>
      <c r="BX30" s="16">
        <v>0</v>
      </c>
      <c r="BY30" s="16">
        <v>30</v>
      </c>
      <c r="BZ30" s="16">
        <v>378</v>
      </c>
      <c r="CA30" s="40">
        <v>5</v>
      </c>
      <c r="CB30" s="40">
        <v>7</v>
      </c>
      <c r="CC30" s="40">
        <v>1</v>
      </c>
      <c r="CD30" s="40">
        <v>69</v>
      </c>
      <c r="CE30" s="40">
        <v>147</v>
      </c>
      <c r="CF30" s="40">
        <v>216</v>
      </c>
      <c r="CG30" s="40">
        <v>8</v>
      </c>
      <c r="CH30" s="40">
        <v>8</v>
      </c>
      <c r="CI30" s="40">
        <v>16</v>
      </c>
      <c r="CJ30" s="40">
        <v>0</v>
      </c>
      <c r="CK30" s="40">
        <v>63</v>
      </c>
      <c r="CL30" s="40">
        <v>61</v>
      </c>
      <c r="CM30" s="40">
        <v>96.83</v>
      </c>
      <c r="CN30" s="40">
        <v>0</v>
      </c>
      <c r="CO30" s="40">
        <v>0</v>
      </c>
      <c r="CP30" s="40">
        <v>0</v>
      </c>
      <c r="CQ30" s="40">
        <v>2</v>
      </c>
      <c r="CR30" s="40">
        <v>0</v>
      </c>
      <c r="CS30" s="40">
        <v>2</v>
      </c>
      <c r="CT30" s="40">
        <v>0</v>
      </c>
      <c r="CU30" s="40">
        <v>0</v>
      </c>
      <c r="CV30" s="40">
        <v>69.23</v>
      </c>
      <c r="CW30" s="19">
        <f t="shared" si="5"/>
        <v>2</v>
      </c>
      <c r="CX30" s="19">
        <f t="shared" si="6"/>
        <v>2</v>
      </c>
      <c r="CY30" s="19">
        <f t="shared" si="7"/>
        <v>4</v>
      </c>
      <c r="CZ30" s="19">
        <f t="shared" si="8"/>
        <v>0</v>
      </c>
    </row>
    <row r="31" spans="1:104" ht="15.75" customHeight="1" x14ac:dyDescent="0.35">
      <c r="A31" s="15" t="s">
        <v>140</v>
      </c>
      <c r="B31" s="16">
        <v>2</v>
      </c>
      <c r="C31" s="15" t="s">
        <v>109</v>
      </c>
      <c r="D31" s="16">
        <v>7</v>
      </c>
      <c r="E31" s="15">
        <v>2</v>
      </c>
      <c r="F31" s="15" t="s">
        <v>134</v>
      </c>
      <c r="G31" s="15" t="s">
        <v>107</v>
      </c>
      <c r="H31" s="15">
        <v>1</v>
      </c>
      <c r="I31" s="15">
        <v>2</v>
      </c>
      <c r="J31" s="17"/>
      <c r="K31" s="16">
        <v>3</v>
      </c>
      <c r="L31" s="16">
        <v>4</v>
      </c>
      <c r="M31" s="16">
        <v>40</v>
      </c>
      <c r="N31" s="16">
        <v>158</v>
      </c>
      <c r="O31" s="16">
        <v>198</v>
      </c>
      <c r="P31" s="16">
        <v>29</v>
      </c>
      <c r="Q31" s="16">
        <v>0</v>
      </c>
      <c r="R31" s="16">
        <v>26</v>
      </c>
      <c r="S31" s="16">
        <v>421</v>
      </c>
      <c r="T31" s="40">
        <v>3</v>
      </c>
      <c r="U31" s="40">
        <v>3</v>
      </c>
      <c r="V31" s="40">
        <v>3</v>
      </c>
      <c r="W31" s="40">
        <v>34</v>
      </c>
      <c r="X31" s="40">
        <v>34</v>
      </c>
      <c r="Y31" s="40">
        <v>34</v>
      </c>
      <c r="Z31" s="40">
        <v>8</v>
      </c>
      <c r="AA31" s="40">
        <v>8</v>
      </c>
      <c r="AB31" s="40">
        <v>8</v>
      </c>
      <c r="AC31" s="40">
        <v>8</v>
      </c>
      <c r="AD31" s="40">
        <v>8</v>
      </c>
      <c r="AE31" s="40">
        <v>8</v>
      </c>
      <c r="AF31" s="40">
        <v>8</v>
      </c>
      <c r="AG31" s="40">
        <v>30</v>
      </c>
      <c r="AH31" s="40">
        <v>30</v>
      </c>
      <c r="AI31" s="40">
        <v>30</v>
      </c>
      <c r="AJ31" s="40">
        <v>6</v>
      </c>
      <c r="AK31" s="40">
        <v>6</v>
      </c>
      <c r="AL31" s="40">
        <v>6</v>
      </c>
      <c r="AM31" s="40">
        <v>6</v>
      </c>
      <c r="AN31" s="40">
        <v>6</v>
      </c>
      <c r="AO31" s="40">
        <v>6</v>
      </c>
      <c r="AP31" s="16">
        <v>43</v>
      </c>
      <c r="AQ31" s="16"/>
      <c r="AR31" s="16">
        <v>47</v>
      </c>
      <c r="AS31" s="16"/>
      <c r="AT31" s="16">
        <v>54</v>
      </c>
      <c r="AU31" s="16"/>
      <c r="AV31" s="16">
        <v>43</v>
      </c>
      <c r="AW31" s="16"/>
      <c r="AX31" s="16">
        <v>45</v>
      </c>
      <c r="AY31" s="16"/>
      <c r="AZ31" s="16">
        <v>51</v>
      </c>
      <c r="BA31" s="16"/>
      <c r="BB31" s="16">
        <v>54</v>
      </c>
      <c r="BC31" s="16"/>
      <c r="BD31" s="16">
        <v>49</v>
      </c>
      <c r="BE31" s="16"/>
      <c r="BF31" s="16">
        <v>12</v>
      </c>
      <c r="BG31" s="16">
        <v>7</v>
      </c>
      <c r="BH31" s="16">
        <v>19</v>
      </c>
      <c r="BI31" s="16">
        <v>11</v>
      </c>
      <c r="BJ31" s="16">
        <v>8</v>
      </c>
      <c r="BK31" s="16">
        <v>19</v>
      </c>
      <c r="BL31" s="16">
        <v>5</v>
      </c>
      <c r="BM31" s="16">
        <v>11</v>
      </c>
      <c r="BN31" s="16">
        <v>13</v>
      </c>
      <c r="BO31" s="16">
        <v>10</v>
      </c>
      <c r="BP31" s="16">
        <v>6</v>
      </c>
      <c r="BQ31" s="16">
        <v>45</v>
      </c>
      <c r="BR31" s="16">
        <v>4</v>
      </c>
      <c r="BS31" s="16">
        <v>5</v>
      </c>
      <c r="BT31" s="16">
        <v>60</v>
      </c>
      <c r="BU31" s="16">
        <v>110</v>
      </c>
      <c r="BV31" s="16">
        <v>170</v>
      </c>
      <c r="BW31" s="16">
        <v>25</v>
      </c>
      <c r="BX31" s="16">
        <v>0</v>
      </c>
      <c r="BY31" s="16">
        <v>28</v>
      </c>
      <c r="BZ31" s="16">
        <v>292</v>
      </c>
      <c r="CA31" s="19">
        <v>3</v>
      </c>
      <c r="CB31" s="19">
        <v>4</v>
      </c>
      <c r="CC31" s="19">
        <v>4</v>
      </c>
      <c r="CD31" s="40">
        <v>34</v>
      </c>
      <c r="CE31" s="40">
        <v>105</v>
      </c>
      <c r="CF31" s="40">
        <v>139</v>
      </c>
      <c r="CG31" s="40">
        <v>8</v>
      </c>
      <c r="CH31" s="40">
        <v>8</v>
      </c>
      <c r="CI31" s="40">
        <v>16</v>
      </c>
      <c r="CJ31" s="40">
        <v>0</v>
      </c>
      <c r="CK31" s="40">
        <v>61</v>
      </c>
      <c r="CL31" s="40">
        <v>61</v>
      </c>
      <c r="CM31" s="40">
        <v>100</v>
      </c>
      <c r="CN31" s="40">
        <v>23</v>
      </c>
      <c r="CO31" s="40">
        <v>69</v>
      </c>
      <c r="CP31" s="40">
        <v>92</v>
      </c>
      <c r="CQ31" s="40">
        <v>6</v>
      </c>
      <c r="CR31" s="40">
        <v>8</v>
      </c>
      <c r="CS31" s="40">
        <v>2</v>
      </c>
      <c r="CT31" s="40">
        <v>36</v>
      </c>
      <c r="CU31" s="40">
        <v>36</v>
      </c>
      <c r="CV31" s="40">
        <v>100</v>
      </c>
      <c r="CW31" s="19">
        <f t="shared" si="5"/>
        <v>0</v>
      </c>
      <c r="CX31" s="19">
        <f t="shared" si="6"/>
        <v>0</v>
      </c>
      <c r="CY31" s="19">
        <f t="shared" si="7"/>
        <v>0</v>
      </c>
      <c r="CZ31" s="19">
        <f t="shared" si="8"/>
        <v>0</v>
      </c>
    </row>
    <row r="32" spans="1:104" ht="15.75" customHeight="1" x14ac:dyDescent="0.35">
      <c r="A32" s="15" t="s">
        <v>141</v>
      </c>
      <c r="B32" s="16">
        <v>2</v>
      </c>
      <c r="C32" s="15" t="s">
        <v>109</v>
      </c>
      <c r="D32" s="16">
        <v>7</v>
      </c>
      <c r="E32" s="15">
        <v>2</v>
      </c>
      <c r="F32" s="15" t="s">
        <v>134</v>
      </c>
      <c r="G32" s="15" t="s">
        <v>107</v>
      </c>
      <c r="H32" s="15">
        <v>1</v>
      </c>
      <c r="I32" s="15">
        <v>2</v>
      </c>
      <c r="J32" s="17"/>
      <c r="K32" s="16">
        <v>0</v>
      </c>
      <c r="L32" s="16">
        <v>5</v>
      </c>
      <c r="M32" s="16">
        <v>73</v>
      </c>
      <c r="N32" s="16">
        <v>155</v>
      </c>
      <c r="O32" s="16">
        <v>228</v>
      </c>
      <c r="P32" s="16">
        <v>19</v>
      </c>
      <c r="Q32" s="16">
        <v>3</v>
      </c>
      <c r="R32" s="16">
        <v>26</v>
      </c>
      <c r="S32" s="16">
        <v>470</v>
      </c>
      <c r="T32" s="19">
        <v>1</v>
      </c>
      <c r="U32" s="19">
        <v>2</v>
      </c>
      <c r="V32" s="19">
        <v>0</v>
      </c>
      <c r="W32" s="19">
        <v>45</v>
      </c>
      <c r="X32" s="19">
        <v>251</v>
      </c>
      <c r="Y32" s="19">
        <v>296</v>
      </c>
      <c r="Z32" s="19">
        <v>8</v>
      </c>
      <c r="AA32" s="19">
        <v>8</v>
      </c>
      <c r="AB32" s="19">
        <v>16</v>
      </c>
      <c r="AC32" s="19">
        <v>0</v>
      </c>
      <c r="AD32" s="19">
        <v>85</v>
      </c>
      <c r="AE32" s="19">
        <v>61</v>
      </c>
      <c r="AF32" s="19">
        <v>71.760000000000005</v>
      </c>
      <c r="AG32" s="19">
        <v>95</v>
      </c>
      <c r="AH32" s="19">
        <v>96</v>
      </c>
      <c r="AI32" s="19">
        <v>191</v>
      </c>
      <c r="AJ32" s="19">
        <v>7</v>
      </c>
      <c r="AK32" s="19">
        <v>7</v>
      </c>
      <c r="AL32" s="19">
        <v>3</v>
      </c>
      <c r="AM32" s="19">
        <v>52</v>
      </c>
      <c r="AN32" s="19">
        <v>38</v>
      </c>
      <c r="AO32" s="19">
        <v>73.08</v>
      </c>
      <c r="AP32" s="16">
        <v>44</v>
      </c>
      <c r="AQ32" s="16"/>
      <c r="AR32" s="16">
        <v>51</v>
      </c>
      <c r="AS32" s="16"/>
      <c r="AT32" s="16">
        <v>56</v>
      </c>
      <c r="AU32" s="16"/>
      <c r="AV32" s="16">
        <v>47</v>
      </c>
      <c r="AW32" s="16"/>
      <c r="AX32" s="16">
        <v>46</v>
      </c>
      <c r="AY32" s="16"/>
      <c r="AZ32" s="16">
        <v>55</v>
      </c>
      <c r="BA32" s="16"/>
      <c r="BB32" s="16">
        <v>59</v>
      </c>
      <c r="BC32" s="16"/>
      <c r="BD32" s="16">
        <v>55</v>
      </c>
      <c r="BE32" s="16"/>
      <c r="BF32" s="16">
        <v>8</v>
      </c>
      <c r="BG32" s="16">
        <v>6</v>
      </c>
      <c r="BH32" s="16">
        <v>14</v>
      </c>
      <c r="BI32" s="16">
        <v>9</v>
      </c>
      <c r="BJ32" s="16">
        <v>8</v>
      </c>
      <c r="BK32" s="16">
        <v>17</v>
      </c>
      <c r="BL32" s="16">
        <v>5</v>
      </c>
      <c r="BM32" s="16">
        <v>8</v>
      </c>
      <c r="BN32" s="16">
        <v>9</v>
      </c>
      <c r="BO32" s="16">
        <v>7</v>
      </c>
      <c r="BP32" s="16">
        <v>6</v>
      </c>
      <c r="BQ32" s="16">
        <v>35</v>
      </c>
      <c r="BR32" s="16">
        <v>4</v>
      </c>
      <c r="BS32" s="16">
        <v>3</v>
      </c>
      <c r="BT32" s="16">
        <v>136</v>
      </c>
      <c r="BU32" s="16">
        <v>145</v>
      </c>
      <c r="BV32" s="16">
        <v>281</v>
      </c>
      <c r="BW32" s="16">
        <v>29</v>
      </c>
      <c r="BX32" s="16">
        <v>0</v>
      </c>
      <c r="BY32" s="16">
        <v>27</v>
      </c>
      <c r="BZ32" s="16">
        <v>325</v>
      </c>
      <c r="CA32" s="19">
        <v>3</v>
      </c>
      <c r="CB32" s="19">
        <v>6</v>
      </c>
      <c r="CC32" s="19">
        <v>2</v>
      </c>
      <c r="CD32" s="19">
        <v>78</v>
      </c>
      <c r="CE32" s="19">
        <v>237</v>
      </c>
      <c r="CF32" s="19">
        <v>315</v>
      </c>
      <c r="CG32" s="19">
        <v>8</v>
      </c>
      <c r="CH32" s="19">
        <v>8</v>
      </c>
      <c r="CI32" s="19">
        <v>16</v>
      </c>
      <c r="CJ32" s="19">
        <v>0</v>
      </c>
      <c r="CK32" s="19">
        <v>73</v>
      </c>
      <c r="CL32" s="19">
        <v>61</v>
      </c>
      <c r="CM32" s="19">
        <v>83.56</v>
      </c>
      <c r="CN32" s="19">
        <v>25</v>
      </c>
      <c r="CO32" s="19">
        <v>131</v>
      </c>
      <c r="CP32" s="19">
        <v>156</v>
      </c>
      <c r="CQ32" s="19">
        <v>7</v>
      </c>
      <c r="CR32" s="19">
        <v>7</v>
      </c>
      <c r="CS32" s="19">
        <v>3</v>
      </c>
      <c r="CT32" s="19">
        <v>46</v>
      </c>
      <c r="CU32" s="19">
        <v>36</v>
      </c>
      <c r="CV32" s="19">
        <v>78.260000000000005</v>
      </c>
      <c r="CW32" s="19">
        <f t="shared" si="5"/>
        <v>24</v>
      </c>
      <c r="CX32" s="19">
        <f t="shared" si="6"/>
        <v>12</v>
      </c>
      <c r="CY32" s="19">
        <f t="shared" si="7"/>
        <v>14</v>
      </c>
      <c r="CZ32" s="19">
        <f t="shared" si="8"/>
        <v>10</v>
      </c>
    </row>
    <row r="33" spans="1:104" ht="15.75" customHeight="1" x14ac:dyDescent="0.35">
      <c r="A33" s="15" t="s">
        <v>142</v>
      </c>
      <c r="B33" s="16">
        <v>2</v>
      </c>
      <c r="C33" s="15" t="s">
        <v>109</v>
      </c>
      <c r="D33" s="16">
        <v>7</v>
      </c>
      <c r="E33" s="15">
        <v>2</v>
      </c>
      <c r="F33" s="15" t="s">
        <v>134</v>
      </c>
      <c r="G33" s="15" t="s">
        <v>143</v>
      </c>
      <c r="H33" s="15">
        <v>1</v>
      </c>
      <c r="I33" s="15">
        <v>2</v>
      </c>
      <c r="J33" s="17"/>
      <c r="K33" s="16">
        <v>5</v>
      </c>
      <c r="L33" s="16">
        <v>0</v>
      </c>
      <c r="M33" s="16">
        <v>57</v>
      </c>
      <c r="N33" s="16">
        <v>104</v>
      </c>
      <c r="O33" s="16">
        <v>161</v>
      </c>
      <c r="P33" s="16">
        <v>25</v>
      </c>
      <c r="Q33" s="16">
        <v>0</v>
      </c>
      <c r="R33" s="16">
        <v>25</v>
      </c>
      <c r="S33" s="16">
        <v>252</v>
      </c>
      <c r="T33" s="19">
        <v>4</v>
      </c>
      <c r="U33" s="19">
        <v>5</v>
      </c>
      <c r="V33" s="19">
        <v>4</v>
      </c>
      <c r="W33" s="19">
        <v>70</v>
      </c>
      <c r="X33" s="19">
        <v>216</v>
      </c>
      <c r="Y33" s="19">
        <v>286</v>
      </c>
      <c r="Z33" s="19">
        <v>8</v>
      </c>
      <c r="AA33" s="19">
        <v>8</v>
      </c>
      <c r="AB33" s="19">
        <v>16</v>
      </c>
      <c r="AC33" s="19">
        <v>0</v>
      </c>
      <c r="AD33" s="19">
        <v>67</v>
      </c>
      <c r="AE33" s="19">
        <v>61</v>
      </c>
      <c r="AF33" s="19">
        <v>91.04</v>
      </c>
      <c r="AG33" s="20">
        <v>36380</v>
      </c>
      <c r="AH33" s="20">
        <v>-36319</v>
      </c>
      <c r="AI33" s="19">
        <v>61</v>
      </c>
      <c r="AJ33" s="19">
        <v>4</v>
      </c>
      <c r="AK33" s="19">
        <v>4</v>
      </c>
      <c r="AL33" s="19">
        <v>2</v>
      </c>
      <c r="AM33" s="19">
        <v>20</v>
      </c>
      <c r="AN33" s="19">
        <v>18</v>
      </c>
      <c r="AO33" s="19">
        <v>90</v>
      </c>
      <c r="AP33" s="16">
        <v>43</v>
      </c>
      <c r="AQ33" s="16"/>
      <c r="AR33" s="16">
        <v>44</v>
      </c>
      <c r="AS33" s="16"/>
      <c r="AT33" s="16">
        <v>54</v>
      </c>
      <c r="AU33" s="16"/>
      <c r="AV33" s="16">
        <v>43</v>
      </c>
      <c r="AW33" s="16"/>
      <c r="AX33" s="16">
        <v>42</v>
      </c>
      <c r="AY33" s="16"/>
      <c r="AZ33" s="16">
        <v>51</v>
      </c>
      <c r="BA33" s="16"/>
      <c r="BB33" s="16">
        <v>54</v>
      </c>
      <c r="BC33" s="16"/>
      <c r="BD33" s="16">
        <v>49</v>
      </c>
      <c r="BE33" s="16"/>
      <c r="BF33" s="16">
        <v>11</v>
      </c>
      <c r="BG33" s="16">
        <v>8</v>
      </c>
      <c r="BH33" s="16">
        <v>19</v>
      </c>
      <c r="BI33" s="16">
        <v>10</v>
      </c>
      <c r="BJ33" s="16">
        <v>8</v>
      </c>
      <c r="BK33" s="16">
        <v>18</v>
      </c>
      <c r="BL33" s="16">
        <v>5</v>
      </c>
      <c r="BM33" s="16">
        <v>10</v>
      </c>
      <c r="BN33" s="16">
        <v>12</v>
      </c>
      <c r="BO33" s="16">
        <v>10</v>
      </c>
      <c r="BP33" s="16">
        <v>6</v>
      </c>
      <c r="BQ33" s="16">
        <v>43</v>
      </c>
      <c r="BR33" s="16">
        <v>4</v>
      </c>
      <c r="BS33" s="16">
        <v>5</v>
      </c>
      <c r="BT33" s="16">
        <v>74</v>
      </c>
      <c r="BU33" s="16">
        <v>89</v>
      </c>
      <c r="BV33" s="16">
        <v>163</v>
      </c>
      <c r="BW33" s="16">
        <v>25</v>
      </c>
      <c r="BX33" s="16">
        <v>1</v>
      </c>
      <c r="BY33" s="16">
        <v>29</v>
      </c>
      <c r="BZ33" s="16">
        <v>311</v>
      </c>
      <c r="CA33" s="19">
        <v>4</v>
      </c>
      <c r="CB33" s="19">
        <v>6</v>
      </c>
      <c r="CC33" s="19">
        <v>5</v>
      </c>
      <c r="CD33" s="19">
        <v>20</v>
      </c>
      <c r="CE33" s="19">
        <v>138</v>
      </c>
      <c r="CF33" s="19">
        <v>158</v>
      </c>
      <c r="CG33" s="19">
        <v>8</v>
      </c>
      <c r="CH33" s="19">
        <v>8</v>
      </c>
      <c r="CI33" s="19">
        <v>16</v>
      </c>
      <c r="CJ33" s="19">
        <v>0</v>
      </c>
      <c r="CK33" s="19">
        <v>67</v>
      </c>
      <c r="CL33" s="19">
        <v>61</v>
      </c>
      <c r="CM33" s="19">
        <v>91.04</v>
      </c>
      <c r="CN33" s="19">
        <v>20</v>
      </c>
      <c r="CO33" s="19">
        <v>54</v>
      </c>
      <c r="CP33" s="19">
        <v>74</v>
      </c>
      <c r="CQ33" s="19">
        <v>5</v>
      </c>
      <c r="CR33" s="19">
        <v>6</v>
      </c>
      <c r="CS33" s="19">
        <v>2</v>
      </c>
      <c r="CT33" s="19">
        <v>32</v>
      </c>
      <c r="CU33" s="19">
        <v>28</v>
      </c>
      <c r="CV33" s="19">
        <v>87.5</v>
      </c>
      <c r="CW33" s="19">
        <f t="shared" si="5"/>
        <v>6</v>
      </c>
      <c r="CX33" s="19">
        <f t="shared" si="6"/>
        <v>6</v>
      </c>
      <c r="CY33" s="19">
        <f t="shared" si="7"/>
        <v>2</v>
      </c>
      <c r="CZ33" s="19">
        <f t="shared" si="8"/>
        <v>4</v>
      </c>
    </row>
    <row r="34" spans="1:104" ht="15.75" customHeight="1" x14ac:dyDescent="0.35">
      <c r="A34" s="15" t="s">
        <v>144</v>
      </c>
      <c r="B34" s="16">
        <v>2</v>
      </c>
      <c r="C34" s="15" t="s">
        <v>109</v>
      </c>
      <c r="D34" s="16">
        <v>7</v>
      </c>
      <c r="E34" s="15">
        <v>2</v>
      </c>
      <c r="F34" s="15" t="s">
        <v>134</v>
      </c>
      <c r="G34" s="15" t="s">
        <v>107</v>
      </c>
      <c r="H34" s="15">
        <v>1</v>
      </c>
      <c r="I34" s="15">
        <v>2</v>
      </c>
      <c r="J34" s="17"/>
      <c r="K34" s="16">
        <v>3</v>
      </c>
      <c r="L34" s="16">
        <v>3</v>
      </c>
      <c r="M34" s="16">
        <v>67</v>
      </c>
      <c r="N34" s="16">
        <v>138</v>
      </c>
      <c r="O34" s="16">
        <v>205</v>
      </c>
      <c r="P34" s="16">
        <v>27</v>
      </c>
      <c r="Q34" s="16">
        <v>1</v>
      </c>
      <c r="R34" s="16">
        <v>22</v>
      </c>
      <c r="S34" s="16">
        <v>321</v>
      </c>
      <c r="T34" s="19">
        <v>2</v>
      </c>
      <c r="U34" s="19">
        <v>3</v>
      </c>
      <c r="V34" s="19">
        <v>2</v>
      </c>
      <c r="W34" s="19">
        <v>40</v>
      </c>
      <c r="X34" s="19">
        <v>152</v>
      </c>
      <c r="Y34" s="19">
        <v>192</v>
      </c>
      <c r="Z34" s="19">
        <v>8</v>
      </c>
      <c r="AA34" s="19">
        <v>8</v>
      </c>
      <c r="AB34" s="19">
        <v>16</v>
      </c>
      <c r="AC34" s="19">
        <v>0</v>
      </c>
      <c r="AD34" s="19">
        <v>65</v>
      </c>
      <c r="AE34" s="19">
        <v>61</v>
      </c>
      <c r="AF34" s="19">
        <v>93.85</v>
      </c>
      <c r="AG34" s="19">
        <v>7</v>
      </c>
      <c r="AH34" s="19">
        <v>37</v>
      </c>
      <c r="AI34" s="19">
        <v>44</v>
      </c>
      <c r="AJ34" s="19">
        <v>4</v>
      </c>
      <c r="AK34" s="19">
        <v>4</v>
      </c>
      <c r="AL34" s="19">
        <v>2</v>
      </c>
      <c r="AM34" s="19">
        <v>22</v>
      </c>
      <c r="AN34" s="19">
        <v>18</v>
      </c>
      <c r="AO34" s="19">
        <v>81.819999999999993</v>
      </c>
      <c r="AP34" s="16">
        <v>36</v>
      </c>
      <c r="AQ34" s="16"/>
      <c r="AR34" s="16">
        <v>39</v>
      </c>
      <c r="AS34" s="16"/>
      <c r="AT34" s="16">
        <v>40</v>
      </c>
      <c r="AU34" s="16"/>
      <c r="AV34" s="16">
        <v>35</v>
      </c>
      <c r="AW34" s="16"/>
      <c r="AX34" s="16">
        <v>38</v>
      </c>
      <c r="AY34" s="16"/>
      <c r="AZ34" s="16">
        <v>45</v>
      </c>
      <c r="BA34" s="16"/>
      <c r="BB34" s="16">
        <v>46</v>
      </c>
      <c r="BC34" s="16"/>
      <c r="BD34" s="16">
        <v>48</v>
      </c>
      <c r="BE34" s="16"/>
      <c r="BF34" s="16">
        <v>11</v>
      </c>
      <c r="BG34" s="16">
        <v>11</v>
      </c>
      <c r="BH34" s="16">
        <v>22</v>
      </c>
      <c r="BI34" s="16">
        <v>16</v>
      </c>
      <c r="BJ34" s="16">
        <v>12</v>
      </c>
      <c r="BK34" s="16">
        <v>28</v>
      </c>
      <c r="BL34" s="16">
        <v>8</v>
      </c>
      <c r="BM34" s="16">
        <v>13</v>
      </c>
      <c r="BN34" s="16">
        <v>16</v>
      </c>
      <c r="BO34" s="16">
        <v>12</v>
      </c>
      <c r="BP34" s="16">
        <v>10</v>
      </c>
      <c r="BQ34" s="16">
        <v>59</v>
      </c>
      <c r="BR34" s="16">
        <v>4</v>
      </c>
      <c r="BS34" s="16">
        <v>0</v>
      </c>
      <c r="BT34" s="16">
        <v>30</v>
      </c>
      <c r="BU34" s="16">
        <v>99</v>
      </c>
      <c r="BV34" s="16">
        <v>129</v>
      </c>
      <c r="BW34" s="16">
        <v>27</v>
      </c>
      <c r="BX34" s="16">
        <v>1</v>
      </c>
      <c r="BY34" s="16">
        <v>22</v>
      </c>
      <c r="BZ34" s="16">
        <v>329</v>
      </c>
      <c r="CA34" s="40">
        <v>1</v>
      </c>
      <c r="CB34" s="40">
        <v>2</v>
      </c>
      <c r="CC34" s="40">
        <v>0</v>
      </c>
      <c r="CD34" s="40">
        <v>30</v>
      </c>
      <c r="CE34" s="40">
        <v>124</v>
      </c>
      <c r="CF34" s="40">
        <v>154</v>
      </c>
      <c r="CG34" s="40">
        <v>8</v>
      </c>
      <c r="CH34" s="40">
        <v>8</v>
      </c>
      <c r="CI34" s="40">
        <v>16</v>
      </c>
      <c r="CJ34" s="40">
        <v>0</v>
      </c>
      <c r="CK34" s="40">
        <v>63</v>
      </c>
      <c r="CL34" s="40">
        <v>61</v>
      </c>
      <c r="CM34" s="40">
        <v>96.83</v>
      </c>
      <c r="CN34" s="40">
        <v>11</v>
      </c>
      <c r="CO34" s="40">
        <v>52</v>
      </c>
      <c r="CP34" s="40">
        <v>63</v>
      </c>
      <c r="CQ34" s="40">
        <v>6</v>
      </c>
      <c r="CR34" s="40">
        <v>5</v>
      </c>
      <c r="CS34" s="40">
        <v>3</v>
      </c>
      <c r="CT34" s="40">
        <v>30</v>
      </c>
      <c r="CU34" s="40">
        <v>26</v>
      </c>
      <c r="CV34" s="40">
        <v>86.67</v>
      </c>
      <c r="CW34" s="19">
        <f t="shared" si="5"/>
        <v>4</v>
      </c>
      <c r="CX34" s="19">
        <f t="shared" si="6"/>
        <v>2</v>
      </c>
      <c r="CY34" s="19">
        <f t="shared" si="7"/>
        <v>4</v>
      </c>
      <c r="CZ34" s="19">
        <f t="shared" si="8"/>
        <v>4</v>
      </c>
    </row>
    <row r="35" spans="1:104" ht="15.75" customHeight="1" x14ac:dyDescent="0.35">
      <c r="A35" s="15" t="s">
        <v>145</v>
      </c>
      <c r="B35" s="16">
        <v>2</v>
      </c>
      <c r="C35" s="15" t="s">
        <v>105</v>
      </c>
      <c r="D35" s="16">
        <v>7</v>
      </c>
      <c r="E35" s="15">
        <v>2</v>
      </c>
      <c r="F35" s="15" t="s">
        <v>134</v>
      </c>
      <c r="G35" s="15" t="s">
        <v>107</v>
      </c>
      <c r="H35" s="15">
        <v>1</v>
      </c>
      <c r="I35" s="15">
        <v>2</v>
      </c>
      <c r="J35" s="17"/>
      <c r="K35" s="16">
        <v>4</v>
      </c>
      <c r="L35" s="16">
        <v>0</v>
      </c>
      <c r="M35" s="16">
        <v>65</v>
      </c>
      <c r="N35" s="16">
        <v>263</v>
      </c>
      <c r="O35" s="16">
        <v>328</v>
      </c>
      <c r="P35" s="16">
        <v>22</v>
      </c>
      <c r="Q35" s="16">
        <v>2</v>
      </c>
      <c r="R35" s="16">
        <v>12</v>
      </c>
      <c r="S35" s="16">
        <v>503</v>
      </c>
      <c r="T35" s="40">
        <v>2</v>
      </c>
      <c r="U35" s="40">
        <v>4</v>
      </c>
      <c r="V35" s="40">
        <v>1</v>
      </c>
      <c r="W35" s="40">
        <v>107</v>
      </c>
      <c r="X35" s="40">
        <v>385</v>
      </c>
      <c r="Y35" s="40">
        <v>492</v>
      </c>
      <c r="Z35" s="40">
        <v>8</v>
      </c>
      <c r="AA35" s="40">
        <v>9</v>
      </c>
      <c r="AB35" s="40">
        <v>15</v>
      </c>
      <c r="AC35" s="40">
        <v>1</v>
      </c>
      <c r="AD35" s="40">
        <v>79</v>
      </c>
      <c r="AE35" s="40">
        <v>63</v>
      </c>
      <c r="AF35" s="40">
        <v>79.75</v>
      </c>
      <c r="AG35" s="40">
        <v>35</v>
      </c>
      <c r="AH35" s="40">
        <v>122</v>
      </c>
      <c r="AI35" s="40">
        <v>157</v>
      </c>
      <c r="AJ35" s="40">
        <v>5</v>
      </c>
      <c r="AK35" s="40">
        <v>6</v>
      </c>
      <c r="AL35" s="40">
        <v>2</v>
      </c>
      <c r="AM35" s="40">
        <v>32</v>
      </c>
      <c r="AN35" s="40">
        <v>28</v>
      </c>
      <c r="AO35" s="40">
        <v>87.5</v>
      </c>
      <c r="AP35" s="16">
        <v>29</v>
      </c>
      <c r="AQ35" s="16"/>
      <c r="AR35" s="16">
        <v>23</v>
      </c>
      <c r="AS35" s="16"/>
      <c r="AT35" s="16">
        <v>35</v>
      </c>
      <c r="AU35" s="16"/>
      <c r="AV35" s="16">
        <v>38</v>
      </c>
      <c r="AW35" s="16"/>
      <c r="AX35" s="16">
        <v>30</v>
      </c>
      <c r="AY35" s="16"/>
      <c r="AZ35" s="16">
        <v>40</v>
      </c>
      <c r="BA35" s="16"/>
      <c r="BB35" s="16">
        <v>32</v>
      </c>
      <c r="BC35" s="16"/>
      <c r="BD35" s="16">
        <v>40</v>
      </c>
      <c r="BE35" s="16"/>
      <c r="BF35" s="16">
        <v>17</v>
      </c>
      <c r="BG35" s="16">
        <v>11</v>
      </c>
      <c r="BH35" s="16">
        <v>28</v>
      </c>
      <c r="BI35" s="16">
        <v>16</v>
      </c>
      <c r="BJ35" s="16">
        <v>15</v>
      </c>
      <c r="BK35" s="16">
        <v>31</v>
      </c>
      <c r="BL35" s="16">
        <v>12</v>
      </c>
      <c r="BM35" s="16">
        <v>21</v>
      </c>
      <c r="BN35" s="16">
        <v>20</v>
      </c>
      <c r="BO35" s="16">
        <v>17</v>
      </c>
      <c r="BP35" s="16">
        <v>12</v>
      </c>
      <c r="BQ35" s="16">
        <v>82</v>
      </c>
      <c r="BR35" s="16">
        <v>3</v>
      </c>
      <c r="BS35" s="16">
        <v>0</v>
      </c>
      <c r="BT35" s="16">
        <v>99</v>
      </c>
      <c r="BU35" s="16">
        <v>169</v>
      </c>
      <c r="BV35" s="16">
        <v>268</v>
      </c>
      <c r="BW35" s="16">
        <v>33</v>
      </c>
      <c r="BX35" s="16">
        <v>0</v>
      </c>
      <c r="BY35" s="16">
        <v>19</v>
      </c>
      <c r="BZ35" s="16">
        <v>468</v>
      </c>
      <c r="CA35" s="19">
        <v>2</v>
      </c>
      <c r="CB35" s="19">
        <v>3</v>
      </c>
      <c r="CC35" s="19">
        <v>2</v>
      </c>
      <c r="CD35" s="19">
        <v>110</v>
      </c>
      <c r="CE35" s="19">
        <v>243</v>
      </c>
      <c r="CF35" s="19">
        <v>353</v>
      </c>
      <c r="CG35" s="19">
        <v>8</v>
      </c>
      <c r="CH35" s="19">
        <v>8</v>
      </c>
      <c r="CI35" s="19">
        <v>16</v>
      </c>
      <c r="CJ35" s="19">
        <v>0</v>
      </c>
      <c r="CK35" s="19">
        <v>61</v>
      </c>
      <c r="CL35" s="19">
        <v>61</v>
      </c>
      <c r="CM35" s="19">
        <v>100</v>
      </c>
      <c r="CN35" s="19">
        <v>58</v>
      </c>
      <c r="CO35" s="19">
        <v>121</v>
      </c>
      <c r="CP35" s="19">
        <v>179</v>
      </c>
      <c r="CQ35" s="19">
        <v>9</v>
      </c>
      <c r="CR35" s="19">
        <v>8</v>
      </c>
      <c r="CS35" s="19">
        <v>4</v>
      </c>
      <c r="CT35" s="19">
        <v>50</v>
      </c>
      <c r="CU35" s="19">
        <v>46</v>
      </c>
      <c r="CV35" s="19">
        <v>92</v>
      </c>
      <c r="CW35" s="19">
        <f t="shared" si="5"/>
        <v>16</v>
      </c>
      <c r="CX35" s="19">
        <f t="shared" si="6"/>
        <v>0</v>
      </c>
      <c r="CY35" s="19">
        <f t="shared" si="7"/>
        <v>4</v>
      </c>
      <c r="CZ35" s="19">
        <f t="shared" si="8"/>
        <v>4</v>
      </c>
    </row>
    <row r="36" spans="1:104" ht="15.75" customHeight="1" x14ac:dyDescent="0.35">
      <c r="A36" s="15" t="s">
        <v>146</v>
      </c>
      <c r="B36" s="16">
        <v>2</v>
      </c>
      <c r="C36" s="15" t="s">
        <v>109</v>
      </c>
      <c r="D36" s="16">
        <v>7</v>
      </c>
      <c r="E36" s="15">
        <v>2</v>
      </c>
      <c r="F36" s="15" t="s">
        <v>134</v>
      </c>
      <c r="G36" s="15" t="s">
        <v>107</v>
      </c>
      <c r="H36" s="15">
        <v>1</v>
      </c>
      <c r="I36" s="15">
        <v>2</v>
      </c>
      <c r="J36" s="17"/>
      <c r="K36" s="16">
        <v>4</v>
      </c>
      <c r="L36" s="16">
        <v>3</v>
      </c>
      <c r="M36" s="16">
        <v>117</v>
      </c>
      <c r="N36" s="16">
        <v>127</v>
      </c>
      <c r="O36" s="16">
        <v>244</v>
      </c>
      <c r="P36" s="16">
        <v>22</v>
      </c>
      <c r="Q36" s="16">
        <v>5</v>
      </c>
      <c r="R36" s="16">
        <v>20</v>
      </c>
      <c r="S36" s="16">
        <v>356</v>
      </c>
      <c r="T36" s="19">
        <v>3</v>
      </c>
      <c r="U36" s="19">
        <v>6</v>
      </c>
      <c r="V36" s="19">
        <v>2</v>
      </c>
      <c r="W36" s="19">
        <v>38</v>
      </c>
      <c r="X36" s="19">
        <v>144</v>
      </c>
      <c r="Y36" s="19">
        <v>182</v>
      </c>
      <c r="Z36" s="19">
        <v>8</v>
      </c>
      <c r="AA36" s="19">
        <v>9</v>
      </c>
      <c r="AB36" s="19">
        <v>15</v>
      </c>
      <c r="AC36" s="19">
        <v>1</v>
      </c>
      <c r="AD36" s="19">
        <v>62</v>
      </c>
      <c r="AE36" s="19">
        <v>60</v>
      </c>
      <c r="AF36" s="19">
        <v>96.77</v>
      </c>
      <c r="AG36" s="19">
        <v>54</v>
      </c>
      <c r="AH36" s="19">
        <v>87</v>
      </c>
      <c r="AI36" s="19">
        <v>141</v>
      </c>
      <c r="AJ36" s="19">
        <v>10</v>
      </c>
      <c r="AK36" s="19">
        <v>7</v>
      </c>
      <c r="AL36" s="19">
        <v>5</v>
      </c>
      <c r="AM36" s="19">
        <v>44</v>
      </c>
      <c r="AN36" s="19">
        <v>44</v>
      </c>
      <c r="AO36" s="19">
        <v>100</v>
      </c>
      <c r="AP36" s="16">
        <v>30</v>
      </c>
      <c r="AQ36" s="16"/>
      <c r="AR36" s="16">
        <v>47</v>
      </c>
      <c r="AS36" s="16"/>
      <c r="AT36" s="16">
        <v>54</v>
      </c>
      <c r="AU36" s="16"/>
      <c r="AV36" s="16">
        <v>43</v>
      </c>
      <c r="AW36" s="16"/>
      <c r="AX36" s="16">
        <v>45</v>
      </c>
      <c r="AY36" s="16"/>
      <c r="AZ36" s="16">
        <v>51</v>
      </c>
      <c r="BA36" s="16"/>
      <c r="BB36" s="16">
        <v>54</v>
      </c>
      <c r="BC36" s="16"/>
      <c r="BD36" s="16">
        <v>49</v>
      </c>
      <c r="BE36" s="16"/>
      <c r="BF36" s="16">
        <v>12</v>
      </c>
      <c r="BG36" s="16">
        <v>7</v>
      </c>
      <c r="BH36" s="16">
        <v>19</v>
      </c>
      <c r="BI36" s="16">
        <v>11</v>
      </c>
      <c r="BJ36" s="16">
        <v>8</v>
      </c>
      <c r="BK36" s="16">
        <v>19</v>
      </c>
      <c r="BL36" s="16">
        <v>5</v>
      </c>
      <c r="BM36" s="16">
        <v>11</v>
      </c>
      <c r="BN36" s="16">
        <v>13</v>
      </c>
      <c r="BO36" s="16">
        <v>10</v>
      </c>
      <c r="BP36" s="16">
        <v>6</v>
      </c>
      <c r="BQ36" s="16">
        <v>45</v>
      </c>
      <c r="BR36" s="16">
        <v>4</v>
      </c>
      <c r="BS36" s="16">
        <v>0</v>
      </c>
      <c r="BT36" s="16">
        <v>64</v>
      </c>
      <c r="BU36" s="16">
        <v>138</v>
      </c>
      <c r="BV36" s="16">
        <v>202</v>
      </c>
      <c r="BW36" s="16">
        <v>26</v>
      </c>
      <c r="BX36" s="16">
        <v>2</v>
      </c>
      <c r="BY36" s="16">
        <v>20</v>
      </c>
      <c r="BZ36" s="16">
        <v>240</v>
      </c>
      <c r="CA36" s="40">
        <v>3</v>
      </c>
      <c r="CB36" s="40">
        <v>6</v>
      </c>
      <c r="CC36" s="40">
        <v>2</v>
      </c>
      <c r="CD36" s="40">
        <v>46</v>
      </c>
      <c r="CE36" s="40">
        <v>157</v>
      </c>
      <c r="CF36" s="40">
        <v>203</v>
      </c>
      <c r="CG36" s="40">
        <v>8</v>
      </c>
      <c r="CH36" s="40">
        <v>11</v>
      </c>
      <c r="CI36" s="40">
        <v>14</v>
      </c>
      <c r="CJ36" s="40">
        <v>3</v>
      </c>
      <c r="CK36" s="40">
        <v>59</v>
      </c>
      <c r="CL36" s="40">
        <v>59</v>
      </c>
      <c r="CM36" s="40">
        <v>100</v>
      </c>
      <c r="CN36" s="40">
        <v>7</v>
      </c>
      <c r="CO36" s="40">
        <v>51</v>
      </c>
      <c r="CP36" s="40">
        <v>58</v>
      </c>
      <c r="CQ36" s="40">
        <v>5</v>
      </c>
      <c r="CR36" s="40">
        <v>3</v>
      </c>
      <c r="CS36" s="40">
        <v>3</v>
      </c>
      <c r="CT36" s="40">
        <v>26</v>
      </c>
      <c r="CU36" s="40">
        <v>18</v>
      </c>
      <c r="CV36" s="40">
        <v>69.23</v>
      </c>
      <c r="CW36" s="19">
        <f t="shared" si="5"/>
        <v>2</v>
      </c>
      <c r="CX36" s="19">
        <f t="shared" si="6"/>
        <v>0</v>
      </c>
      <c r="CY36" s="19">
        <f t="shared" si="7"/>
        <v>0</v>
      </c>
      <c r="CZ36" s="19">
        <f t="shared" si="8"/>
        <v>8</v>
      </c>
    </row>
    <row r="37" spans="1:104" ht="15.75" customHeight="1" x14ac:dyDescent="0.35">
      <c r="A37" s="15" t="s">
        <v>147</v>
      </c>
      <c r="B37" s="16">
        <v>2</v>
      </c>
      <c r="C37" s="15" t="s">
        <v>109</v>
      </c>
      <c r="D37" s="16">
        <v>7</v>
      </c>
      <c r="E37" s="15">
        <v>2</v>
      </c>
      <c r="F37" s="15" t="s">
        <v>134</v>
      </c>
      <c r="G37" s="15" t="s">
        <v>107</v>
      </c>
      <c r="H37" s="15">
        <v>1</v>
      </c>
      <c r="I37" s="15">
        <v>2</v>
      </c>
      <c r="J37" s="17"/>
      <c r="K37" s="16">
        <v>5</v>
      </c>
      <c r="L37" s="16">
        <v>4</v>
      </c>
      <c r="M37" s="16">
        <v>40</v>
      </c>
      <c r="N37" s="16">
        <v>128</v>
      </c>
      <c r="O37" s="16">
        <v>168</v>
      </c>
      <c r="P37" s="16">
        <v>28</v>
      </c>
      <c r="Q37" s="16">
        <v>4</v>
      </c>
      <c r="R37" s="16">
        <v>27</v>
      </c>
      <c r="S37" s="16">
        <v>423</v>
      </c>
      <c r="T37" s="40">
        <v>3</v>
      </c>
      <c r="U37" s="40">
        <v>4</v>
      </c>
      <c r="V37" s="40">
        <v>4</v>
      </c>
      <c r="W37" s="40">
        <v>32</v>
      </c>
      <c r="X37" s="40">
        <v>140</v>
      </c>
      <c r="Y37" s="40">
        <v>172</v>
      </c>
      <c r="Z37" s="40">
        <v>8</v>
      </c>
      <c r="AA37" s="40">
        <v>8</v>
      </c>
      <c r="AB37" s="40">
        <v>16</v>
      </c>
      <c r="AC37" s="40">
        <v>0</v>
      </c>
      <c r="AD37" s="40">
        <v>67</v>
      </c>
      <c r="AE37" s="40">
        <v>61</v>
      </c>
      <c r="AF37" s="40">
        <v>91.04</v>
      </c>
      <c r="AG37" s="40">
        <v>59</v>
      </c>
      <c r="AH37" s="40">
        <v>125</v>
      </c>
      <c r="AI37" s="40">
        <v>184</v>
      </c>
      <c r="AJ37" s="40">
        <v>10</v>
      </c>
      <c r="AK37" s="40">
        <v>13</v>
      </c>
      <c r="AL37" s="40">
        <v>3</v>
      </c>
      <c r="AM37" s="40">
        <v>70</v>
      </c>
      <c r="AN37" s="40">
        <v>60</v>
      </c>
      <c r="AO37" s="40">
        <v>85.71</v>
      </c>
      <c r="AP37" s="16">
        <v>36</v>
      </c>
      <c r="AQ37" s="16"/>
      <c r="AR37" s="16">
        <v>39</v>
      </c>
      <c r="AS37" s="16"/>
      <c r="AT37" s="16">
        <v>40</v>
      </c>
      <c r="AU37" s="16"/>
      <c r="AV37" s="16">
        <v>35</v>
      </c>
      <c r="AW37" s="16"/>
      <c r="AX37" s="16">
        <v>38</v>
      </c>
      <c r="AY37" s="16"/>
      <c r="AZ37" s="16">
        <v>45</v>
      </c>
      <c r="BA37" s="16"/>
      <c r="BB37" s="16">
        <v>46</v>
      </c>
      <c r="BC37" s="16"/>
      <c r="BD37" s="16">
        <v>48</v>
      </c>
      <c r="BE37" s="16"/>
      <c r="BF37" s="16">
        <v>11</v>
      </c>
      <c r="BG37" s="16">
        <v>10</v>
      </c>
      <c r="BH37" s="16">
        <v>21</v>
      </c>
      <c r="BI37" s="16">
        <v>16</v>
      </c>
      <c r="BJ37" s="16">
        <v>12</v>
      </c>
      <c r="BK37" s="16">
        <v>28</v>
      </c>
      <c r="BL37" s="16">
        <v>8</v>
      </c>
      <c r="BM37" s="16">
        <v>13</v>
      </c>
      <c r="BN37" s="16">
        <v>16</v>
      </c>
      <c r="BO37" s="16">
        <v>12</v>
      </c>
      <c r="BP37" s="16">
        <v>10</v>
      </c>
      <c r="BQ37" s="16">
        <v>59</v>
      </c>
      <c r="BR37" s="16">
        <v>6</v>
      </c>
      <c r="BS37" s="16">
        <v>5</v>
      </c>
      <c r="BT37" s="16">
        <v>62</v>
      </c>
      <c r="BU37" s="16">
        <v>89</v>
      </c>
      <c r="BV37" s="16">
        <v>151</v>
      </c>
      <c r="BW37" s="16">
        <v>29</v>
      </c>
      <c r="BX37" s="16">
        <v>0</v>
      </c>
      <c r="BY37" s="16">
        <v>22</v>
      </c>
      <c r="BZ37" s="16">
        <v>278</v>
      </c>
      <c r="CA37" s="40">
        <v>1</v>
      </c>
      <c r="CB37" s="40">
        <v>2</v>
      </c>
      <c r="CC37" s="40">
        <v>0</v>
      </c>
      <c r="CD37" s="40">
        <v>46</v>
      </c>
      <c r="CE37" s="40">
        <v>160</v>
      </c>
      <c r="CF37" s="40">
        <v>206</v>
      </c>
      <c r="CG37" s="40">
        <v>8</v>
      </c>
      <c r="CH37" s="40">
        <v>8</v>
      </c>
      <c r="CI37" s="40">
        <v>16</v>
      </c>
      <c r="CJ37" s="40">
        <v>0</v>
      </c>
      <c r="CK37" s="40">
        <v>67</v>
      </c>
      <c r="CL37" s="40">
        <v>61</v>
      </c>
      <c r="CM37" s="40">
        <v>91.04</v>
      </c>
      <c r="CN37" s="42">
        <v>33848</v>
      </c>
      <c r="CO37" s="42">
        <v>-33829</v>
      </c>
      <c r="CP37" s="40">
        <v>19</v>
      </c>
      <c r="CQ37" s="40">
        <v>3</v>
      </c>
      <c r="CR37" s="40">
        <v>2</v>
      </c>
      <c r="CS37" s="40">
        <v>2</v>
      </c>
      <c r="CT37" s="40">
        <v>8</v>
      </c>
      <c r="CU37" s="40">
        <v>8</v>
      </c>
      <c r="CV37" s="40">
        <v>100</v>
      </c>
      <c r="CW37" s="19">
        <f t="shared" si="5"/>
        <v>6</v>
      </c>
      <c r="CX37" s="19">
        <f t="shared" si="6"/>
        <v>6</v>
      </c>
      <c r="CY37" s="19">
        <f t="shared" si="7"/>
        <v>10</v>
      </c>
      <c r="CZ37" s="19">
        <f t="shared" si="8"/>
        <v>0</v>
      </c>
    </row>
    <row r="38" spans="1:104" ht="15.75" customHeight="1" x14ac:dyDescent="0.35">
      <c r="A38" s="15" t="s">
        <v>148</v>
      </c>
      <c r="B38" s="16">
        <v>2</v>
      </c>
      <c r="C38" s="15" t="s">
        <v>105</v>
      </c>
      <c r="D38" s="16">
        <v>7</v>
      </c>
      <c r="E38" s="15">
        <v>2</v>
      </c>
      <c r="F38" s="15" t="s">
        <v>134</v>
      </c>
      <c r="G38" s="15" t="s">
        <v>107</v>
      </c>
      <c r="H38" s="15">
        <v>1</v>
      </c>
      <c r="I38" s="15">
        <v>2</v>
      </c>
      <c r="J38" s="17"/>
      <c r="K38" s="16">
        <v>4</v>
      </c>
      <c r="L38" s="16">
        <v>4</v>
      </c>
      <c r="M38" s="16">
        <v>103</v>
      </c>
      <c r="N38" s="16">
        <v>176</v>
      </c>
      <c r="O38" s="16">
        <v>279</v>
      </c>
      <c r="P38" s="16">
        <v>28</v>
      </c>
      <c r="Q38" s="16">
        <v>2</v>
      </c>
      <c r="R38" s="16">
        <v>15</v>
      </c>
      <c r="S38" s="16">
        <v>304</v>
      </c>
      <c r="T38" s="19">
        <v>2</v>
      </c>
      <c r="U38" s="19">
        <v>4</v>
      </c>
      <c r="V38" s="19">
        <v>1</v>
      </c>
      <c r="W38" s="19">
        <v>52</v>
      </c>
      <c r="X38" s="19">
        <v>188</v>
      </c>
      <c r="Y38" s="19">
        <v>240</v>
      </c>
      <c r="Z38" s="19">
        <v>8</v>
      </c>
      <c r="AA38" s="19">
        <v>8</v>
      </c>
      <c r="AB38" s="19">
        <v>16</v>
      </c>
      <c r="AC38" s="19">
        <v>0</v>
      </c>
      <c r="AD38" s="19">
        <v>67</v>
      </c>
      <c r="AE38" s="19">
        <v>61</v>
      </c>
      <c r="AF38" s="19">
        <v>91.04</v>
      </c>
      <c r="AG38" s="19">
        <v>43</v>
      </c>
      <c r="AH38" s="19">
        <v>95</v>
      </c>
      <c r="AI38" s="19">
        <v>138</v>
      </c>
      <c r="AJ38" s="19">
        <v>9</v>
      </c>
      <c r="AK38" s="19">
        <v>8</v>
      </c>
      <c r="AL38" s="19">
        <v>4</v>
      </c>
      <c r="AM38" s="19">
        <v>43</v>
      </c>
      <c r="AN38" s="19">
        <v>43</v>
      </c>
      <c r="AO38" s="19">
        <v>100</v>
      </c>
      <c r="AP38" s="16">
        <v>36</v>
      </c>
      <c r="AQ38" s="16"/>
      <c r="AR38" s="16">
        <v>39</v>
      </c>
      <c r="AS38" s="16"/>
      <c r="AT38" s="16">
        <v>40</v>
      </c>
      <c r="AU38" s="16"/>
      <c r="AV38" s="16">
        <v>35</v>
      </c>
      <c r="AW38" s="16"/>
      <c r="AX38" s="16">
        <v>38</v>
      </c>
      <c r="AY38" s="16"/>
      <c r="AZ38" s="16">
        <v>45</v>
      </c>
      <c r="BA38" s="16"/>
      <c r="BB38" s="16">
        <v>43</v>
      </c>
      <c r="BC38" s="16"/>
      <c r="BD38" s="16">
        <v>48</v>
      </c>
      <c r="BE38" s="16"/>
      <c r="BF38" s="16">
        <v>11</v>
      </c>
      <c r="BG38" s="16">
        <v>11</v>
      </c>
      <c r="BH38" s="16">
        <v>22</v>
      </c>
      <c r="BI38" s="16">
        <v>16</v>
      </c>
      <c r="BJ38" s="16">
        <v>12</v>
      </c>
      <c r="BK38" s="16">
        <v>28</v>
      </c>
      <c r="BL38" s="16">
        <v>8</v>
      </c>
      <c r="BM38" s="16">
        <v>13</v>
      </c>
      <c r="BN38" s="16">
        <v>16</v>
      </c>
      <c r="BO38" s="16">
        <v>12</v>
      </c>
      <c r="BP38" s="16">
        <v>10</v>
      </c>
      <c r="BQ38" s="16">
        <v>59</v>
      </c>
      <c r="BR38" s="16">
        <v>4</v>
      </c>
      <c r="BS38" s="16">
        <v>5</v>
      </c>
      <c r="BT38" s="16">
        <v>74</v>
      </c>
      <c r="BU38" s="16">
        <v>118</v>
      </c>
      <c r="BV38" s="16">
        <v>192</v>
      </c>
      <c r="BW38" s="16">
        <v>32</v>
      </c>
      <c r="BX38" s="16">
        <v>2</v>
      </c>
      <c r="BY38" s="16">
        <v>24</v>
      </c>
      <c r="BZ38" s="16">
        <v>367</v>
      </c>
      <c r="CA38" s="19">
        <v>4</v>
      </c>
      <c r="CB38" s="19">
        <v>4</v>
      </c>
      <c r="CC38" s="19">
        <v>4</v>
      </c>
      <c r="CD38" s="19">
        <v>43</v>
      </c>
      <c r="CE38" s="19">
        <v>116</v>
      </c>
      <c r="CF38" s="19">
        <v>159</v>
      </c>
      <c r="CG38" s="19">
        <v>9</v>
      </c>
      <c r="CH38" s="19">
        <v>8</v>
      </c>
      <c r="CI38" s="19">
        <v>16</v>
      </c>
      <c r="CJ38" s="19">
        <v>0</v>
      </c>
      <c r="CK38" s="19">
        <v>63</v>
      </c>
      <c r="CL38" s="19">
        <v>61</v>
      </c>
      <c r="CM38" s="19">
        <v>96.83</v>
      </c>
      <c r="CN38" s="19">
        <v>10</v>
      </c>
      <c r="CO38" s="19">
        <v>58</v>
      </c>
      <c r="CP38" s="19">
        <v>68</v>
      </c>
      <c r="CQ38" s="19">
        <v>6</v>
      </c>
      <c r="CR38" s="19">
        <v>5</v>
      </c>
      <c r="CS38" s="19">
        <v>3</v>
      </c>
      <c r="CT38" s="19">
        <v>28</v>
      </c>
      <c r="CU38" s="19">
        <v>26</v>
      </c>
      <c r="CV38" s="19">
        <v>92.86</v>
      </c>
      <c r="CW38" s="19">
        <f t="shared" si="5"/>
        <v>6</v>
      </c>
      <c r="CX38" s="19">
        <f t="shared" si="6"/>
        <v>2</v>
      </c>
      <c r="CY38" s="19">
        <f t="shared" si="7"/>
        <v>0</v>
      </c>
      <c r="CZ38" s="19">
        <f t="shared" si="8"/>
        <v>2</v>
      </c>
    </row>
    <row r="39" spans="1:104" ht="15.75" customHeight="1" x14ac:dyDescent="0.35">
      <c r="A39" s="15" t="s">
        <v>149</v>
      </c>
      <c r="B39" s="16">
        <v>2</v>
      </c>
      <c r="C39" s="15" t="s">
        <v>109</v>
      </c>
      <c r="D39" s="16">
        <v>7</v>
      </c>
      <c r="E39" s="15">
        <v>2</v>
      </c>
      <c r="F39" s="15" t="s">
        <v>134</v>
      </c>
      <c r="G39" s="15" t="s">
        <v>143</v>
      </c>
      <c r="H39" s="15">
        <v>1</v>
      </c>
      <c r="I39" s="15">
        <v>2</v>
      </c>
      <c r="J39" s="17"/>
      <c r="K39" s="16">
        <v>4</v>
      </c>
      <c r="L39" s="16">
        <v>4</v>
      </c>
      <c r="M39" s="16">
        <v>28</v>
      </c>
      <c r="N39" s="16">
        <v>127</v>
      </c>
      <c r="O39" s="16">
        <v>155</v>
      </c>
      <c r="P39" s="16">
        <v>25</v>
      </c>
      <c r="Q39" s="16">
        <v>7</v>
      </c>
      <c r="R39" s="16">
        <v>21</v>
      </c>
      <c r="S39" s="16">
        <v>384</v>
      </c>
      <c r="T39" s="40">
        <v>3</v>
      </c>
      <c r="U39" s="40">
        <v>5</v>
      </c>
      <c r="V39" s="40">
        <v>3</v>
      </c>
      <c r="W39" s="40">
        <v>45</v>
      </c>
      <c r="X39" s="40">
        <v>160</v>
      </c>
      <c r="Y39" s="40">
        <v>205</v>
      </c>
      <c r="Z39" s="40">
        <v>8</v>
      </c>
      <c r="AA39" s="40">
        <v>9</v>
      </c>
      <c r="AB39" s="40">
        <v>15</v>
      </c>
      <c r="AC39" s="40">
        <v>1</v>
      </c>
      <c r="AD39" s="40">
        <v>91</v>
      </c>
      <c r="AE39" s="40">
        <v>63</v>
      </c>
      <c r="AF39" s="40">
        <v>69.23</v>
      </c>
      <c r="AG39" s="42">
        <v>42620</v>
      </c>
      <c r="AH39" s="42">
        <v>-42503</v>
      </c>
      <c r="AI39" s="40">
        <v>117</v>
      </c>
      <c r="AJ39" s="40">
        <v>8</v>
      </c>
      <c r="AK39" s="40">
        <v>9</v>
      </c>
      <c r="AL39" s="40">
        <v>3</v>
      </c>
      <c r="AM39" s="40">
        <v>66</v>
      </c>
      <c r="AN39" s="40">
        <v>47</v>
      </c>
      <c r="AO39" s="40">
        <v>71.209999999999994</v>
      </c>
      <c r="AP39" s="16">
        <v>43</v>
      </c>
      <c r="AQ39" s="16"/>
      <c r="AR39" s="16">
        <v>47</v>
      </c>
      <c r="AS39" s="16"/>
      <c r="AT39" s="16">
        <v>54</v>
      </c>
      <c r="AU39" s="16"/>
      <c r="AV39" s="16">
        <v>43</v>
      </c>
      <c r="AW39" s="16"/>
      <c r="AX39" s="16">
        <v>45</v>
      </c>
      <c r="AY39" s="16"/>
      <c r="AZ39" s="16">
        <v>51</v>
      </c>
      <c r="BA39" s="16"/>
      <c r="BB39" s="16">
        <v>54</v>
      </c>
      <c r="BC39" s="16"/>
      <c r="BD39" s="16">
        <v>49</v>
      </c>
      <c r="BE39" s="16"/>
      <c r="BF39" s="16">
        <v>12</v>
      </c>
      <c r="BG39" s="16">
        <v>7</v>
      </c>
      <c r="BH39" s="16">
        <v>19</v>
      </c>
      <c r="BI39" s="16">
        <v>11</v>
      </c>
      <c r="BJ39" s="16">
        <v>8</v>
      </c>
      <c r="BK39" s="16">
        <v>19</v>
      </c>
      <c r="BL39" s="16">
        <v>5</v>
      </c>
      <c r="BM39" s="16">
        <v>11</v>
      </c>
      <c r="BN39" s="16">
        <v>13</v>
      </c>
      <c r="BO39" s="16">
        <v>10</v>
      </c>
      <c r="BP39" s="16">
        <v>6</v>
      </c>
      <c r="BQ39" s="16">
        <v>45</v>
      </c>
      <c r="BR39" s="16">
        <v>4</v>
      </c>
      <c r="BS39" s="16">
        <v>5</v>
      </c>
      <c r="BT39" s="16">
        <v>36</v>
      </c>
      <c r="BU39" s="16">
        <v>126</v>
      </c>
      <c r="BV39" s="16">
        <v>162</v>
      </c>
      <c r="BW39" s="16">
        <v>31</v>
      </c>
      <c r="BX39" s="16">
        <v>0</v>
      </c>
      <c r="BY39" s="16">
        <v>26</v>
      </c>
      <c r="BZ39" s="16">
        <v>300</v>
      </c>
      <c r="CA39" s="40">
        <v>3</v>
      </c>
      <c r="CB39" s="40">
        <v>4</v>
      </c>
      <c r="CC39" s="40">
        <v>2</v>
      </c>
      <c r="CD39" s="40">
        <v>18</v>
      </c>
      <c r="CE39" s="40">
        <v>109</v>
      </c>
      <c r="CF39" s="40">
        <v>127</v>
      </c>
      <c r="CG39" s="40">
        <v>8</v>
      </c>
      <c r="CH39" s="40">
        <v>8</v>
      </c>
      <c r="CI39" s="40">
        <v>16</v>
      </c>
      <c r="CJ39" s="40">
        <v>0</v>
      </c>
      <c r="CK39" s="40">
        <v>77</v>
      </c>
      <c r="CL39" s="40">
        <v>61</v>
      </c>
      <c r="CM39" s="40">
        <v>79.22</v>
      </c>
      <c r="CN39" s="40">
        <v>9</v>
      </c>
      <c r="CO39" s="40">
        <v>50</v>
      </c>
      <c r="CP39" s="40">
        <v>59</v>
      </c>
      <c r="CQ39" s="40">
        <v>6</v>
      </c>
      <c r="CR39" s="40">
        <v>5</v>
      </c>
      <c r="CS39" s="40">
        <v>3</v>
      </c>
      <c r="CT39" s="40">
        <v>34</v>
      </c>
      <c r="CU39" s="40">
        <v>26</v>
      </c>
      <c r="CV39" s="40">
        <v>76.47</v>
      </c>
      <c r="CW39" s="19">
        <f t="shared" si="5"/>
        <v>28</v>
      </c>
      <c r="CX39" s="19">
        <f t="shared" si="6"/>
        <v>16</v>
      </c>
      <c r="CY39" s="19">
        <f t="shared" si="7"/>
        <v>19</v>
      </c>
      <c r="CZ39" s="19">
        <f t="shared" si="8"/>
        <v>8</v>
      </c>
    </row>
    <row r="40" spans="1:104" ht="15.75" customHeight="1" x14ac:dyDescent="0.35">
      <c r="A40" s="15" t="s">
        <v>150</v>
      </c>
      <c r="B40" s="16">
        <v>1</v>
      </c>
      <c r="C40" s="15" t="s">
        <v>109</v>
      </c>
      <c r="D40" s="16">
        <v>7</v>
      </c>
      <c r="E40" s="15">
        <v>2</v>
      </c>
      <c r="F40" s="15" t="s">
        <v>151</v>
      </c>
      <c r="G40" s="15" t="s">
        <v>107</v>
      </c>
      <c r="H40" s="15">
        <v>1</v>
      </c>
      <c r="I40" s="15">
        <v>2</v>
      </c>
      <c r="J40" s="17"/>
      <c r="K40" s="16">
        <v>5</v>
      </c>
      <c r="L40" s="16">
        <v>5</v>
      </c>
      <c r="M40" s="16">
        <v>81</v>
      </c>
      <c r="N40" s="16">
        <v>129</v>
      </c>
      <c r="O40" s="16">
        <v>210</v>
      </c>
      <c r="P40" s="16">
        <v>26</v>
      </c>
      <c r="Q40" s="16">
        <v>5</v>
      </c>
      <c r="R40" s="16">
        <v>15</v>
      </c>
      <c r="S40" s="16">
        <v>320</v>
      </c>
      <c r="T40" s="19">
        <v>4</v>
      </c>
      <c r="U40" s="19">
        <v>7</v>
      </c>
      <c r="V40" s="19">
        <v>2</v>
      </c>
      <c r="W40" s="19">
        <v>23</v>
      </c>
      <c r="X40" s="19">
        <v>115</v>
      </c>
      <c r="Y40" s="19">
        <v>138</v>
      </c>
      <c r="Z40" s="19">
        <v>6</v>
      </c>
      <c r="AA40" s="19">
        <v>8</v>
      </c>
      <c r="AB40" s="19">
        <v>11</v>
      </c>
      <c r="AC40" s="19">
        <v>2</v>
      </c>
      <c r="AD40" s="19">
        <v>47</v>
      </c>
      <c r="AE40" s="19">
        <v>41</v>
      </c>
      <c r="AF40" s="19">
        <v>87.23</v>
      </c>
      <c r="AG40" s="19">
        <v>0</v>
      </c>
      <c r="AH40" s="19">
        <v>0</v>
      </c>
      <c r="AI40" s="19">
        <v>0</v>
      </c>
      <c r="AJ40" s="19">
        <v>2</v>
      </c>
      <c r="AK40" s="19">
        <v>0</v>
      </c>
      <c r="AL40" s="19">
        <v>2</v>
      </c>
      <c r="AM40" s="19">
        <v>0</v>
      </c>
      <c r="AN40" s="19">
        <v>0</v>
      </c>
      <c r="AO40" s="19">
        <v>75</v>
      </c>
      <c r="AP40" s="16">
        <v>30</v>
      </c>
      <c r="AQ40" s="16">
        <v>5</v>
      </c>
      <c r="AR40" s="16">
        <v>40</v>
      </c>
      <c r="AS40" s="16">
        <v>7</v>
      </c>
      <c r="AT40" s="43">
        <v>48</v>
      </c>
      <c r="AU40" s="16">
        <v>4</v>
      </c>
      <c r="AV40" s="16">
        <v>28</v>
      </c>
      <c r="AW40" s="16">
        <v>6</v>
      </c>
      <c r="AX40" s="16">
        <v>46</v>
      </c>
      <c r="AY40" s="16">
        <v>1</v>
      </c>
      <c r="AZ40" s="16">
        <v>51</v>
      </c>
      <c r="BA40" s="16">
        <v>2</v>
      </c>
      <c r="BB40" s="16">
        <v>55</v>
      </c>
      <c r="BC40" s="16"/>
      <c r="BD40" s="16">
        <v>59</v>
      </c>
      <c r="BE40" s="16"/>
      <c r="BF40" s="16">
        <v>13</v>
      </c>
      <c r="BG40" s="16">
        <v>5</v>
      </c>
      <c r="BH40" s="16">
        <v>18</v>
      </c>
      <c r="BI40" s="16">
        <v>11</v>
      </c>
      <c r="BJ40" s="16">
        <v>8</v>
      </c>
      <c r="BK40" s="16">
        <v>19</v>
      </c>
      <c r="BL40" s="16">
        <v>4</v>
      </c>
      <c r="BM40" s="16">
        <v>13</v>
      </c>
      <c r="BN40" s="16">
        <v>13</v>
      </c>
      <c r="BO40" s="16">
        <v>8</v>
      </c>
      <c r="BP40" s="16">
        <v>5</v>
      </c>
      <c r="BQ40" s="16">
        <v>43</v>
      </c>
      <c r="BR40" s="16">
        <v>5</v>
      </c>
      <c r="BS40" s="16">
        <v>6</v>
      </c>
      <c r="BT40" s="16">
        <v>80</v>
      </c>
      <c r="BU40" s="16">
        <v>124</v>
      </c>
      <c r="BV40" s="16">
        <v>204</v>
      </c>
      <c r="BW40" s="16">
        <v>30</v>
      </c>
      <c r="BX40" s="16">
        <v>0</v>
      </c>
      <c r="BY40" s="16">
        <v>26</v>
      </c>
      <c r="BZ40" s="16">
        <v>286</v>
      </c>
      <c r="CA40" s="19">
        <v>3</v>
      </c>
      <c r="CB40" s="19">
        <v>5</v>
      </c>
      <c r="CC40" s="19">
        <v>3</v>
      </c>
      <c r="CD40" s="19">
        <v>36</v>
      </c>
      <c r="CE40" s="19">
        <v>103</v>
      </c>
      <c r="CF40" s="19">
        <v>139</v>
      </c>
      <c r="CG40" s="19">
        <v>8</v>
      </c>
      <c r="CH40" s="19">
        <v>8</v>
      </c>
      <c r="CI40" s="19">
        <v>16</v>
      </c>
      <c r="CJ40" s="19">
        <v>0</v>
      </c>
      <c r="CK40" s="19">
        <v>63</v>
      </c>
      <c r="CL40" s="19">
        <v>61</v>
      </c>
      <c r="CM40" s="19">
        <v>96.83</v>
      </c>
      <c r="CN40" s="19">
        <v>19</v>
      </c>
      <c r="CO40" s="19">
        <v>32</v>
      </c>
      <c r="CP40" s="19">
        <v>51</v>
      </c>
      <c r="CQ40" s="19">
        <v>7</v>
      </c>
      <c r="CR40" s="19">
        <v>4</v>
      </c>
      <c r="CS40" s="19">
        <v>4</v>
      </c>
      <c r="CT40" s="19">
        <v>29</v>
      </c>
      <c r="CU40" s="19">
        <v>29</v>
      </c>
      <c r="CV40" s="19">
        <v>100</v>
      </c>
      <c r="CW40" s="19">
        <f t="shared" si="5"/>
        <v>6</v>
      </c>
      <c r="CX40" s="19">
        <f t="shared" si="6"/>
        <v>2</v>
      </c>
      <c r="CY40" s="19">
        <f t="shared" si="7"/>
        <v>0</v>
      </c>
      <c r="CZ40" s="19">
        <f t="shared" si="8"/>
        <v>0</v>
      </c>
    </row>
    <row r="41" spans="1:104" ht="15.75" customHeight="1" x14ac:dyDescent="0.35">
      <c r="A41" s="15" t="s">
        <v>152</v>
      </c>
      <c r="B41" s="16">
        <v>1</v>
      </c>
      <c r="C41" s="15" t="s">
        <v>109</v>
      </c>
      <c r="D41" s="16">
        <v>7</v>
      </c>
      <c r="E41" s="15">
        <v>2</v>
      </c>
      <c r="F41" s="15" t="s">
        <v>151</v>
      </c>
      <c r="G41" s="15" t="s">
        <v>107</v>
      </c>
      <c r="H41" s="15">
        <v>1</v>
      </c>
      <c r="I41" s="15">
        <v>2</v>
      </c>
      <c r="J41" s="17"/>
      <c r="K41" s="16">
        <v>3</v>
      </c>
      <c r="L41" s="16">
        <v>4</v>
      </c>
      <c r="M41" s="16">
        <v>94</v>
      </c>
      <c r="N41" s="16">
        <v>107</v>
      </c>
      <c r="O41" s="16">
        <v>201</v>
      </c>
      <c r="P41" s="16">
        <v>30</v>
      </c>
      <c r="Q41" s="16">
        <v>2</v>
      </c>
      <c r="R41" s="16">
        <v>15</v>
      </c>
      <c r="S41" s="16">
        <v>354</v>
      </c>
      <c r="T41" s="19">
        <v>3</v>
      </c>
      <c r="U41" s="19">
        <v>5</v>
      </c>
      <c r="V41" s="19">
        <v>3</v>
      </c>
      <c r="W41" s="19">
        <v>46</v>
      </c>
      <c r="X41" s="19">
        <v>177</v>
      </c>
      <c r="Y41" s="19">
        <v>223</v>
      </c>
      <c r="Z41" s="19">
        <v>8</v>
      </c>
      <c r="AA41" s="19">
        <v>8</v>
      </c>
      <c r="AB41" s="19">
        <v>16</v>
      </c>
      <c r="AC41" s="19">
        <v>0</v>
      </c>
      <c r="AD41" s="19">
        <v>71</v>
      </c>
      <c r="AE41" s="19">
        <v>61</v>
      </c>
      <c r="AF41" s="19">
        <v>85.92</v>
      </c>
      <c r="AG41" s="20">
        <v>34138</v>
      </c>
      <c r="AH41" s="20">
        <v>-34057</v>
      </c>
      <c r="AI41" s="19">
        <v>81</v>
      </c>
      <c r="AJ41" s="19">
        <v>8</v>
      </c>
      <c r="AK41" s="19">
        <v>6</v>
      </c>
      <c r="AL41" s="19">
        <v>4</v>
      </c>
      <c r="AM41" s="19">
        <v>34</v>
      </c>
      <c r="AN41" s="19">
        <v>34</v>
      </c>
      <c r="AO41" s="19">
        <v>100</v>
      </c>
      <c r="AP41" s="16">
        <v>30</v>
      </c>
      <c r="AQ41" s="16">
        <v>5</v>
      </c>
      <c r="AR41" s="16">
        <v>37</v>
      </c>
      <c r="AS41" s="16">
        <v>7</v>
      </c>
      <c r="AT41" s="43">
        <v>48</v>
      </c>
      <c r="AU41" s="16">
        <v>4</v>
      </c>
      <c r="AV41" s="16">
        <v>28</v>
      </c>
      <c r="AW41" s="16">
        <v>6</v>
      </c>
      <c r="AX41" s="16">
        <v>45</v>
      </c>
      <c r="AY41" s="16">
        <v>1</v>
      </c>
      <c r="AZ41" s="16">
        <v>48</v>
      </c>
      <c r="BA41" s="16">
        <v>2</v>
      </c>
      <c r="BB41" s="16">
        <v>57</v>
      </c>
      <c r="BC41" s="16"/>
      <c r="BD41" s="16">
        <v>59</v>
      </c>
      <c r="BE41" s="16"/>
      <c r="BF41" s="16">
        <v>8</v>
      </c>
      <c r="BG41" s="16">
        <v>5</v>
      </c>
      <c r="BH41" s="16">
        <v>13</v>
      </c>
      <c r="BI41" s="16">
        <v>11</v>
      </c>
      <c r="BJ41" s="16">
        <v>8</v>
      </c>
      <c r="BK41" s="16">
        <v>19</v>
      </c>
      <c r="BL41" s="16">
        <v>5</v>
      </c>
      <c r="BM41" s="16">
        <v>11</v>
      </c>
      <c r="BN41" s="16">
        <v>12</v>
      </c>
      <c r="BO41" s="16">
        <v>8</v>
      </c>
      <c r="BP41" s="16">
        <v>5</v>
      </c>
      <c r="BQ41" s="16">
        <v>41</v>
      </c>
      <c r="BR41" s="16">
        <v>4</v>
      </c>
      <c r="BS41" s="16">
        <v>0</v>
      </c>
      <c r="BT41" s="16">
        <v>108</v>
      </c>
      <c r="BU41" s="16">
        <v>118</v>
      </c>
      <c r="BV41" s="16">
        <v>226</v>
      </c>
      <c r="BW41" s="16">
        <v>32</v>
      </c>
      <c r="BX41" s="16">
        <v>0</v>
      </c>
      <c r="BY41" s="16">
        <v>23</v>
      </c>
      <c r="BZ41" s="16">
        <v>320</v>
      </c>
      <c r="CA41" s="19">
        <v>4</v>
      </c>
      <c r="CB41" s="19">
        <v>5</v>
      </c>
      <c r="CC41" s="19">
        <v>6</v>
      </c>
      <c r="CD41" s="19">
        <v>29</v>
      </c>
      <c r="CE41" s="19">
        <v>105</v>
      </c>
      <c r="CF41" s="19">
        <v>134</v>
      </c>
      <c r="CG41" s="19">
        <v>8</v>
      </c>
      <c r="CH41" s="19">
        <v>8</v>
      </c>
      <c r="CI41" s="19">
        <v>16</v>
      </c>
      <c r="CJ41" s="19">
        <v>0</v>
      </c>
      <c r="CK41" s="19">
        <v>69</v>
      </c>
      <c r="CL41" s="19">
        <v>61</v>
      </c>
      <c r="CM41" s="19">
        <v>88.41</v>
      </c>
      <c r="CN41" s="19">
        <v>40</v>
      </c>
      <c r="CO41" s="19">
        <v>77</v>
      </c>
      <c r="CP41" s="19">
        <v>117</v>
      </c>
      <c r="CQ41" s="19">
        <v>9</v>
      </c>
      <c r="CR41" s="19">
        <v>11</v>
      </c>
      <c r="CS41" s="19">
        <v>3</v>
      </c>
      <c r="CT41" s="19">
        <v>58</v>
      </c>
      <c r="CU41" s="19">
        <v>52</v>
      </c>
      <c r="CV41" s="19">
        <v>89.66</v>
      </c>
      <c r="CW41" s="19">
        <f t="shared" si="5"/>
        <v>10</v>
      </c>
      <c r="CX41" s="19">
        <f t="shared" si="6"/>
        <v>8</v>
      </c>
      <c r="CY41" s="19">
        <f t="shared" si="7"/>
        <v>0</v>
      </c>
      <c r="CZ41" s="19">
        <f t="shared" si="8"/>
        <v>6</v>
      </c>
    </row>
    <row r="42" spans="1:104" ht="15.75" customHeight="1" x14ac:dyDescent="0.35">
      <c r="A42" s="15" t="s">
        <v>153</v>
      </c>
      <c r="B42" s="16">
        <v>1</v>
      </c>
      <c r="C42" s="15" t="s">
        <v>105</v>
      </c>
      <c r="D42" s="16">
        <v>7</v>
      </c>
      <c r="E42" s="15">
        <v>2</v>
      </c>
      <c r="F42" s="15" t="s">
        <v>151</v>
      </c>
      <c r="G42" s="15" t="s">
        <v>143</v>
      </c>
      <c r="H42" s="15">
        <v>1</v>
      </c>
      <c r="I42" s="15">
        <v>2</v>
      </c>
      <c r="J42" s="17"/>
      <c r="K42" s="16">
        <v>6</v>
      </c>
      <c r="L42" s="16">
        <v>4</v>
      </c>
      <c r="M42" s="16">
        <v>47</v>
      </c>
      <c r="N42" s="16">
        <v>69</v>
      </c>
      <c r="O42" s="16">
        <v>116</v>
      </c>
      <c r="P42" s="16">
        <v>23</v>
      </c>
      <c r="Q42" s="16">
        <v>3</v>
      </c>
      <c r="R42" s="16">
        <v>29</v>
      </c>
      <c r="S42" s="16">
        <v>303</v>
      </c>
      <c r="T42" s="19">
        <v>3</v>
      </c>
      <c r="U42" s="19">
        <v>5</v>
      </c>
      <c r="V42" s="19">
        <v>3</v>
      </c>
      <c r="W42" s="19">
        <v>37</v>
      </c>
      <c r="X42" s="19">
        <v>219</v>
      </c>
      <c r="Y42" s="19">
        <v>256</v>
      </c>
      <c r="Z42" s="19">
        <v>8</v>
      </c>
      <c r="AA42" s="19">
        <v>8</v>
      </c>
      <c r="AB42" s="19">
        <v>16</v>
      </c>
      <c r="AC42" s="19">
        <v>0</v>
      </c>
      <c r="AD42" s="19">
        <v>75</v>
      </c>
      <c r="AE42" s="19">
        <v>61</v>
      </c>
      <c r="AF42" s="19">
        <v>81.33</v>
      </c>
      <c r="AG42" s="19">
        <v>18</v>
      </c>
      <c r="AH42" s="19">
        <v>71</v>
      </c>
      <c r="AI42" s="19">
        <v>89</v>
      </c>
      <c r="AJ42" s="19">
        <v>4</v>
      </c>
      <c r="AK42" s="19">
        <v>4</v>
      </c>
      <c r="AL42" s="19">
        <v>2</v>
      </c>
      <c r="AM42" s="19">
        <v>22</v>
      </c>
      <c r="AN42" s="19">
        <v>18</v>
      </c>
      <c r="AO42" s="19">
        <v>81.819999999999993</v>
      </c>
      <c r="AP42" s="16">
        <v>27</v>
      </c>
      <c r="AQ42" s="16">
        <v>6</v>
      </c>
      <c r="AR42" s="16">
        <v>36</v>
      </c>
      <c r="AS42" s="16">
        <v>8</v>
      </c>
      <c r="AT42" s="43">
        <v>46</v>
      </c>
      <c r="AU42" s="16">
        <v>4</v>
      </c>
      <c r="AV42" s="16">
        <v>30</v>
      </c>
      <c r="AW42" s="16">
        <v>6</v>
      </c>
      <c r="AX42" s="16">
        <v>47</v>
      </c>
      <c r="AY42" s="16">
        <v>1</v>
      </c>
      <c r="AZ42" s="16">
        <v>57</v>
      </c>
      <c r="BA42" s="16"/>
      <c r="BB42" s="16">
        <v>55</v>
      </c>
      <c r="BC42" s="16"/>
      <c r="BD42" s="16">
        <v>58</v>
      </c>
      <c r="BE42" s="16"/>
      <c r="BF42" s="16">
        <v>13</v>
      </c>
      <c r="BG42" s="16">
        <v>10</v>
      </c>
      <c r="BH42" s="16">
        <v>23</v>
      </c>
      <c r="BI42" s="16">
        <v>13</v>
      </c>
      <c r="BJ42" s="16">
        <v>8</v>
      </c>
      <c r="BK42" s="16">
        <v>21</v>
      </c>
      <c r="BL42" s="16">
        <v>5</v>
      </c>
      <c r="BM42" s="16">
        <v>15</v>
      </c>
      <c r="BN42" s="16">
        <v>15</v>
      </c>
      <c r="BO42" s="16">
        <v>8</v>
      </c>
      <c r="BP42" s="16">
        <v>6</v>
      </c>
      <c r="BQ42" s="16">
        <v>49</v>
      </c>
      <c r="BR42" s="16">
        <v>4</v>
      </c>
      <c r="BS42" s="16">
        <v>4</v>
      </c>
      <c r="BT42" s="16">
        <v>64</v>
      </c>
      <c r="BU42" s="16">
        <v>92</v>
      </c>
      <c r="BV42" s="16">
        <v>156</v>
      </c>
      <c r="BW42" s="16">
        <v>28</v>
      </c>
      <c r="BX42" s="16">
        <v>2</v>
      </c>
      <c r="BY42" s="16">
        <v>29</v>
      </c>
      <c r="BZ42" s="16">
        <v>302</v>
      </c>
      <c r="CA42" s="19">
        <v>4</v>
      </c>
      <c r="CB42" s="19">
        <v>5</v>
      </c>
      <c r="CC42" s="19">
        <v>4</v>
      </c>
      <c r="CD42" s="19">
        <v>57</v>
      </c>
      <c r="CE42" s="19">
        <v>135</v>
      </c>
      <c r="CF42" s="19">
        <v>192</v>
      </c>
      <c r="CG42" s="19">
        <v>8</v>
      </c>
      <c r="CH42" s="19">
        <v>8</v>
      </c>
      <c r="CI42" s="19">
        <v>16</v>
      </c>
      <c r="CJ42" s="19">
        <v>0</v>
      </c>
      <c r="CK42" s="19">
        <v>63</v>
      </c>
      <c r="CL42" s="19">
        <v>61</v>
      </c>
      <c r="CM42" s="19">
        <v>96.83</v>
      </c>
      <c r="CN42" s="19">
        <v>19</v>
      </c>
      <c r="CO42" s="19">
        <v>48</v>
      </c>
      <c r="CP42" s="19">
        <v>67</v>
      </c>
      <c r="CQ42" s="19">
        <v>4</v>
      </c>
      <c r="CR42" s="19">
        <v>4</v>
      </c>
      <c r="CS42" s="19">
        <v>2</v>
      </c>
      <c r="CT42" s="19">
        <v>24</v>
      </c>
      <c r="CU42" s="19">
        <v>18</v>
      </c>
      <c r="CV42" s="19">
        <v>75</v>
      </c>
      <c r="CW42" s="19">
        <f t="shared" si="5"/>
        <v>14</v>
      </c>
      <c r="CX42" s="19">
        <f t="shared" si="6"/>
        <v>2</v>
      </c>
      <c r="CY42" s="19">
        <f t="shared" si="7"/>
        <v>4</v>
      </c>
      <c r="CZ42" s="19">
        <f t="shared" si="8"/>
        <v>6</v>
      </c>
    </row>
    <row r="43" spans="1:104" ht="15.75" customHeight="1" x14ac:dyDescent="0.35">
      <c r="A43" s="15" t="s">
        <v>154</v>
      </c>
      <c r="B43" s="16">
        <v>1</v>
      </c>
      <c r="C43" s="15" t="s">
        <v>105</v>
      </c>
      <c r="D43" s="16">
        <v>7</v>
      </c>
      <c r="E43" s="15">
        <v>2</v>
      </c>
      <c r="F43" s="15" t="s">
        <v>151</v>
      </c>
      <c r="G43" s="15" t="s">
        <v>107</v>
      </c>
      <c r="H43" s="15">
        <v>1</v>
      </c>
      <c r="I43" s="15">
        <v>2</v>
      </c>
      <c r="J43" s="17"/>
      <c r="K43" s="16">
        <v>4</v>
      </c>
      <c r="L43" s="16">
        <v>0</v>
      </c>
      <c r="M43" s="16">
        <v>95</v>
      </c>
      <c r="N43" s="16">
        <v>149</v>
      </c>
      <c r="O43" s="16">
        <v>244</v>
      </c>
      <c r="P43" s="16">
        <v>28</v>
      </c>
      <c r="Q43" s="16">
        <v>2</v>
      </c>
      <c r="R43" s="16">
        <v>22</v>
      </c>
      <c r="S43" s="16">
        <v>299</v>
      </c>
      <c r="T43" s="19">
        <v>2</v>
      </c>
      <c r="U43" s="19">
        <v>3</v>
      </c>
      <c r="V43" s="19">
        <v>2</v>
      </c>
      <c r="W43" s="19">
        <v>49</v>
      </c>
      <c r="X43" s="19">
        <v>210</v>
      </c>
      <c r="Y43" s="19">
        <v>259</v>
      </c>
      <c r="Z43" s="19">
        <v>8</v>
      </c>
      <c r="AA43" s="19">
        <v>8</v>
      </c>
      <c r="AB43" s="19">
        <v>16</v>
      </c>
      <c r="AC43" s="19">
        <v>0</v>
      </c>
      <c r="AD43" s="19">
        <v>83</v>
      </c>
      <c r="AE43" s="19">
        <v>61</v>
      </c>
      <c r="AF43" s="19">
        <v>73.489999999999995</v>
      </c>
      <c r="AG43" s="19">
        <v>16</v>
      </c>
      <c r="AH43" s="19">
        <v>110</v>
      </c>
      <c r="AI43" s="19">
        <v>126</v>
      </c>
      <c r="AJ43" s="19">
        <v>7</v>
      </c>
      <c r="AK43" s="19">
        <v>7</v>
      </c>
      <c r="AL43" s="19">
        <v>3</v>
      </c>
      <c r="AM43" s="19">
        <v>40</v>
      </c>
      <c r="AN43" s="19">
        <v>36</v>
      </c>
      <c r="AO43" s="19">
        <v>90</v>
      </c>
      <c r="AP43" s="16">
        <v>26</v>
      </c>
      <c r="AQ43" s="16">
        <v>6</v>
      </c>
      <c r="AR43" s="16">
        <v>36</v>
      </c>
      <c r="AS43" s="16">
        <v>7</v>
      </c>
      <c r="AT43" s="43">
        <v>46</v>
      </c>
      <c r="AU43" s="16">
        <v>3</v>
      </c>
      <c r="AV43" s="16">
        <v>26</v>
      </c>
      <c r="AW43" s="16">
        <v>6</v>
      </c>
      <c r="AX43" s="16">
        <v>44</v>
      </c>
      <c r="AY43" s="16">
        <v>1</v>
      </c>
      <c r="AZ43" s="16">
        <v>54</v>
      </c>
      <c r="BA43" s="16">
        <v>1</v>
      </c>
      <c r="BB43" s="16">
        <v>56</v>
      </c>
      <c r="BC43" s="16"/>
      <c r="BD43" s="16">
        <v>59</v>
      </c>
      <c r="BE43" s="16"/>
      <c r="BF43" s="16">
        <v>11</v>
      </c>
      <c r="BG43" s="16">
        <v>7</v>
      </c>
      <c r="BH43" s="16">
        <v>18</v>
      </c>
      <c r="BI43" s="16">
        <v>14</v>
      </c>
      <c r="BJ43" s="16">
        <v>9</v>
      </c>
      <c r="BK43" s="16">
        <v>23</v>
      </c>
      <c r="BL43" s="16">
        <v>8</v>
      </c>
      <c r="BM43" s="16">
        <v>14</v>
      </c>
      <c r="BN43" s="16">
        <v>12</v>
      </c>
      <c r="BO43" s="16">
        <v>8</v>
      </c>
      <c r="BP43" s="16">
        <v>5</v>
      </c>
      <c r="BQ43" s="16">
        <v>47</v>
      </c>
      <c r="BR43" s="16">
        <v>4</v>
      </c>
      <c r="BS43" s="16">
        <v>3</v>
      </c>
      <c r="BT43" s="16">
        <v>102</v>
      </c>
      <c r="BU43" s="16">
        <v>90</v>
      </c>
      <c r="BV43" s="16">
        <v>192</v>
      </c>
      <c r="BW43" s="16">
        <v>31</v>
      </c>
      <c r="BX43" s="16">
        <v>0</v>
      </c>
      <c r="BY43" s="16">
        <v>21</v>
      </c>
      <c r="BZ43" s="16">
        <v>297</v>
      </c>
      <c r="CA43" s="19">
        <v>3</v>
      </c>
      <c r="CB43" s="19">
        <v>4</v>
      </c>
      <c r="CC43" s="19">
        <v>4</v>
      </c>
      <c r="CD43" s="19">
        <v>35</v>
      </c>
      <c r="CE43" s="19">
        <v>165</v>
      </c>
      <c r="CF43" s="19">
        <v>200</v>
      </c>
      <c r="CG43" s="19">
        <v>8</v>
      </c>
      <c r="CH43" s="19">
        <v>8</v>
      </c>
      <c r="CI43" s="19">
        <v>16</v>
      </c>
      <c r="CJ43" s="19">
        <v>0</v>
      </c>
      <c r="CK43" s="19">
        <v>81</v>
      </c>
      <c r="CL43" s="19">
        <v>61</v>
      </c>
      <c r="CM43" s="19">
        <v>75.31</v>
      </c>
      <c r="CN43" s="19">
        <v>3</v>
      </c>
      <c r="CO43" s="19">
        <v>34</v>
      </c>
      <c r="CP43" s="19">
        <v>37</v>
      </c>
      <c r="CQ43" s="19">
        <v>3</v>
      </c>
      <c r="CR43" s="19">
        <v>2</v>
      </c>
      <c r="CS43" s="19">
        <v>2</v>
      </c>
      <c r="CT43" s="19">
        <v>12</v>
      </c>
      <c r="CU43" s="19">
        <v>8</v>
      </c>
      <c r="CV43" s="19">
        <v>66.67</v>
      </c>
      <c r="CW43" s="19">
        <f t="shared" si="5"/>
        <v>22</v>
      </c>
      <c r="CX43" s="19">
        <f t="shared" si="6"/>
        <v>20</v>
      </c>
      <c r="CY43" s="19">
        <f t="shared" si="7"/>
        <v>4</v>
      </c>
      <c r="CZ43" s="19">
        <f t="shared" si="8"/>
        <v>4</v>
      </c>
    </row>
    <row r="44" spans="1:104" ht="15.75" customHeight="1" x14ac:dyDescent="0.35">
      <c r="A44" s="15" t="s">
        <v>155</v>
      </c>
      <c r="B44" s="16">
        <v>1</v>
      </c>
      <c r="C44" s="15" t="s">
        <v>105</v>
      </c>
      <c r="D44" s="16">
        <v>7</v>
      </c>
      <c r="E44" s="15">
        <v>2</v>
      </c>
      <c r="F44" s="15" t="s">
        <v>151</v>
      </c>
      <c r="G44" s="15" t="s">
        <v>107</v>
      </c>
      <c r="H44" s="15">
        <v>1</v>
      </c>
      <c r="I44" s="15">
        <v>2</v>
      </c>
      <c r="J44" s="17"/>
      <c r="K44" s="16">
        <v>6</v>
      </c>
      <c r="L44" s="16">
        <v>5</v>
      </c>
      <c r="M44" s="16">
        <v>278</v>
      </c>
      <c r="N44" s="16">
        <v>119</v>
      </c>
      <c r="O44" s="16">
        <v>397</v>
      </c>
      <c r="P44" s="16">
        <v>26</v>
      </c>
      <c r="Q44" s="16">
        <v>2</v>
      </c>
      <c r="R44" s="16">
        <v>25</v>
      </c>
      <c r="S44" s="16">
        <v>363</v>
      </c>
      <c r="T44" s="19">
        <v>4</v>
      </c>
      <c r="U44" s="19">
        <v>6</v>
      </c>
      <c r="V44" s="19">
        <v>3</v>
      </c>
      <c r="W44" s="19">
        <v>104</v>
      </c>
      <c r="X44" s="19">
        <v>227</v>
      </c>
      <c r="Y44" s="19">
        <v>331</v>
      </c>
      <c r="Z44" s="19">
        <v>8</v>
      </c>
      <c r="AA44" s="19">
        <v>8</v>
      </c>
      <c r="AB44" s="19">
        <v>16</v>
      </c>
      <c r="AC44" s="19">
        <v>0</v>
      </c>
      <c r="AD44" s="19">
        <v>69</v>
      </c>
      <c r="AE44" s="19">
        <v>61</v>
      </c>
      <c r="AF44" s="19">
        <v>88.41</v>
      </c>
      <c r="AG44" s="19">
        <v>4</v>
      </c>
      <c r="AH44" s="19">
        <v>30</v>
      </c>
      <c r="AI44" s="19">
        <v>34</v>
      </c>
      <c r="AJ44" s="19">
        <v>3</v>
      </c>
      <c r="AK44" s="19">
        <v>2</v>
      </c>
      <c r="AL44" s="19">
        <v>2</v>
      </c>
      <c r="AM44" s="19">
        <v>10</v>
      </c>
      <c r="AN44" s="19">
        <v>8</v>
      </c>
      <c r="AO44" s="19">
        <v>80</v>
      </c>
      <c r="AP44" s="16">
        <v>25</v>
      </c>
      <c r="AQ44" s="16">
        <v>6</v>
      </c>
      <c r="AR44" s="16">
        <v>34</v>
      </c>
      <c r="AS44" s="16">
        <v>9</v>
      </c>
      <c r="AT44" s="43">
        <v>45</v>
      </c>
      <c r="AU44" s="16">
        <v>4</v>
      </c>
      <c r="AV44" s="16">
        <v>30</v>
      </c>
      <c r="AW44" s="16">
        <v>6</v>
      </c>
      <c r="AX44" s="16">
        <v>44</v>
      </c>
      <c r="AY44" s="16">
        <v>1</v>
      </c>
      <c r="AZ44" s="16">
        <v>54</v>
      </c>
      <c r="BA44" s="16">
        <v>1</v>
      </c>
      <c r="BB44" s="16">
        <v>58</v>
      </c>
      <c r="BC44" s="16"/>
      <c r="BD44" s="16">
        <v>43</v>
      </c>
      <c r="BE44" s="16">
        <v>1</v>
      </c>
      <c r="BF44" s="16">
        <v>8</v>
      </c>
      <c r="BG44" s="16">
        <v>5</v>
      </c>
      <c r="BH44" s="16">
        <v>13</v>
      </c>
      <c r="BI44" s="16">
        <v>8</v>
      </c>
      <c r="BJ44" s="16">
        <v>8</v>
      </c>
      <c r="BK44" s="16">
        <v>16</v>
      </c>
      <c r="BL44" s="16">
        <v>5</v>
      </c>
      <c r="BM44" s="16">
        <v>8</v>
      </c>
      <c r="BN44" s="16">
        <v>8</v>
      </c>
      <c r="BO44" s="16">
        <v>7</v>
      </c>
      <c r="BP44" s="16">
        <v>5</v>
      </c>
      <c r="BQ44" s="16">
        <v>33</v>
      </c>
      <c r="BR44" s="16">
        <v>7</v>
      </c>
      <c r="BS44" s="16">
        <v>5</v>
      </c>
      <c r="BT44" s="16">
        <v>217</v>
      </c>
      <c r="BU44" s="16">
        <v>102</v>
      </c>
      <c r="BV44" s="16">
        <v>319</v>
      </c>
      <c r="BW44" s="16">
        <v>32</v>
      </c>
      <c r="BX44" s="16">
        <v>0</v>
      </c>
      <c r="BY44" s="16">
        <v>29</v>
      </c>
      <c r="BZ44" s="16">
        <v>350</v>
      </c>
      <c r="CA44" s="19">
        <v>3</v>
      </c>
      <c r="CB44" s="19">
        <v>4</v>
      </c>
      <c r="CC44" s="19">
        <v>4</v>
      </c>
      <c r="CD44" s="19">
        <v>112</v>
      </c>
      <c r="CE44" s="19">
        <v>196</v>
      </c>
      <c r="CF44" s="19">
        <v>308</v>
      </c>
      <c r="CG44" s="19">
        <v>8</v>
      </c>
      <c r="CH44" s="19">
        <v>8</v>
      </c>
      <c r="CI44" s="19">
        <v>16</v>
      </c>
      <c r="CJ44" s="19">
        <v>0</v>
      </c>
      <c r="CK44" s="19">
        <v>61</v>
      </c>
      <c r="CL44" s="19">
        <v>61</v>
      </c>
      <c r="CM44" s="19">
        <v>100</v>
      </c>
      <c r="CN44" s="19">
        <v>24</v>
      </c>
      <c r="CO44" s="19">
        <v>53</v>
      </c>
      <c r="CP44" s="19">
        <v>77</v>
      </c>
      <c r="CQ44" s="19">
        <v>4</v>
      </c>
      <c r="CR44" s="19">
        <v>4</v>
      </c>
      <c r="CS44" s="19">
        <v>2</v>
      </c>
      <c r="CT44" s="19">
        <v>18</v>
      </c>
      <c r="CU44" s="19">
        <v>18</v>
      </c>
      <c r="CV44" s="19">
        <v>100</v>
      </c>
      <c r="CW44" s="19">
        <f t="shared" si="5"/>
        <v>8</v>
      </c>
      <c r="CX44" s="19">
        <f t="shared" si="6"/>
        <v>0</v>
      </c>
      <c r="CY44" s="19">
        <f t="shared" si="7"/>
        <v>2</v>
      </c>
      <c r="CZ44" s="19">
        <f t="shared" si="8"/>
        <v>0</v>
      </c>
    </row>
    <row r="45" spans="1:104" ht="15.75" customHeight="1" x14ac:dyDescent="0.35">
      <c r="A45" s="15" t="s">
        <v>156</v>
      </c>
      <c r="B45" s="16">
        <v>1</v>
      </c>
      <c r="C45" s="15" t="s">
        <v>109</v>
      </c>
      <c r="D45" s="16">
        <v>7</v>
      </c>
      <c r="E45" s="15">
        <v>2</v>
      </c>
      <c r="F45" s="15" t="s">
        <v>151</v>
      </c>
      <c r="G45" s="15" t="s">
        <v>107</v>
      </c>
      <c r="H45" s="15">
        <v>1</v>
      </c>
      <c r="I45" s="15">
        <v>2</v>
      </c>
      <c r="J45" s="17"/>
      <c r="K45" s="16">
        <v>6</v>
      </c>
      <c r="L45" s="16">
        <v>6</v>
      </c>
      <c r="M45" s="16">
        <v>28</v>
      </c>
      <c r="N45" s="16">
        <v>76</v>
      </c>
      <c r="O45" s="16">
        <v>104</v>
      </c>
      <c r="P45" s="16">
        <v>25</v>
      </c>
      <c r="Q45" s="16">
        <v>2</v>
      </c>
      <c r="R45" s="16">
        <v>24</v>
      </c>
      <c r="S45" s="16">
        <v>278</v>
      </c>
      <c r="T45" s="19">
        <v>3</v>
      </c>
      <c r="U45" s="19">
        <v>4</v>
      </c>
      <c r="V45" s="19">
        <v>4</v>
      </c>
      <c r="W45" s="19">
        <v>39</v>
      </c>
      <c r="X45" s="19">
        <v>211</v>
      </c>
      <c r="Y45" s="19">
        <v>250</v>
      </c>
      <c r="Z45" s="19">
        <v>8</v>
      </c>
      <c r="AA45" s="19">
        <v>8</v>
      </c>
      <c r="AB45" s="19">
        <v>16</v>
      </c>
      <c r="AC45" s="19">
        <v>0</v>
      </c>
      <c r="AD45" s="19">
        <v>85</v>
      </c>
      <c r="AE45" s="19">
        <v>61</v>
      </c>
      <c r="AF45" s="19">
        <v>71.760000000000005</v>
      </c>
      <c r="AG45" s="19">
        <v>8</v>
      </c>
      <c r="AH45" s="19">
        <v>43</v>
      </c>
      <c r="AI45" s="19">
        <v>51</v>
      </c>
      <c r="AJ45" s="19">
        <v>4</v>
      </c>
      <c r="AK45" s="19">
        <v>4</v>
      </c>
      <c r="AL45" s="19">
        <v>2</v>
      </c>
      <c r="AM45" s="19">
        <v>24</v>
      </c>
      <c r="AN45" s="19">
        <v>18</v>
      </c>
      <c r="AO45" s="19">
        <v>75</v>
      </c>
      <c r="AP45" s="16">
        <v>30</v>
      </c>
      <c r="AQ45" s="16">
        <v>5</v>
      </c>
      <c r="AR45" s="16">
        <v>44</v>
      </c>
      <c r="AS45" s="16">
        <v>7</v>
      </c>
      <c r="AT45" s="43">
        <v>46</v>
      </c>
      <c r="AU45" s="16">
        <v>4</v>
      </c>
      <c r="AV45" s="16">
        <v>27</v>
      </c>
      <c r="AW45" s="16">
        <v>6</v>
      </c>
      <c r="AX45" s="16">
        <v>46</v>
      </c>
      <c r="AY45" s="16">
        <v>1</v>
      </c>
      <c r="AZ45" s="16">
        <v>48</v>
      </c>
      <c r="BA45" s="16">
        <v>2</v>
      </c>
      <c r="BB45" s="16">
        <v>59</v>
      </c>
      <c r="BC45" s="16"/>
      <c r="BD45" s="16">
        <v>59</v>
      </c>
      <c r="BE45" s="16"/>
      <c r="BF45" s="16">
        <v>9</v>
      </c>
      <c r="BG45" s="16">
        <v>5</v>
      </c>
      <c r="BH45" s="16">
        <v>14</v>
      </c>
      <c r="BI45" s="16">
        <v>8</v>
      </c>
      <c r="BJ45" s="16">
        <v>8</v>
      </c>
      <c r="BK45" s="16">
        <v>16</v>
      </c>
      <c r="BL45" s="16">
        <v>4</v>
      </c>
      <c r="BM45" s="16">
        <v>8</v>
      </c>
      <c r="BN45" s="16">
        <v>8</v>
      </c>
      <c r="BO45" s="16">
        <v>7</v>
      </c>
      <c r="BP45" s="16">
        <v>5</v>
      </c>
      <c r="BQ45" s="16">
        <v>32</v>
      </c>
      <c r="BR45" s="16">
        <v>5</v>
      </c>
      <c r="BS45" s="16">
        <v>5</v>
      </c>
      <c r="BT45" s="16">
        <v>89</v>
      </c>
      <c r="BU45" s="16">
        <v>76</v>
      </c>
      <c r="BV45" s="16">
        <v>165</v>
      </c>
      <c r="BW45" s="16">
        <v>31</v>
      </c>
      <c r="BX45" s="16">
        <v>1</v>
      </c>
      <c r="BY45" s="16">
        <v>32</v>
      </c>
      <c r="BZ45" s="16">
        <v>302</v>
      </c>
      <c r="CA45" s="19">
        <v>3</v>
      </c>
      <c r="CB45" s="19">
        <v>5</v>
      </c>
      <c r="CC45" s="19">
        <v>3</v>
      </c>
      <c r="CD45" s="19">
        <v>33</v>
      </c>
      <c r="CE45" s="19">
        <v>296</v>
      </c>
      <c r="CF45" s="19">
        <v>329</v>
      </c>
      <c r="CG45" s="19">
        <v>8</v>
      </c>
      <c r="CH45" s="19">
        <v>9</v>
      </c>
      <c r="CI45" s="19">
        <v>15</v>
      </c>
      <c r="CJ45" s="19">
        <v>1</v>
      </c>
      <c r="CK45" s="19">
        <v>169</v>
      </c>
      <c r="CL45" s="19">
        <v>63</v>
      </c>
      <c r="CM45" s="19">
        <v>37.28</v>
      </c>
      <c r="CN45" s="19">
        <v>56</v>
      </c>
      <c r="CO45" s="19">
        <v>57</v>
      </c>
      <c r="CP45" s="19">
        <v>113</v>
      </c>
      <c r="CQ45" s="19">
        <v>6</v>
      </c>
      <c r="CR45" s="19">
        <v>8</v>
      </c>
      <c r="CS45" s="19">
        <v>2</v>
      </c>
      <c r="CT45" s="19">
        <v>48</v>
      </c>
      <c r="CU45" s="19">
        <v>36</v>
      </c>
      <c r="CV45" s="19">
        <v>75</v>
      </c>
      <c r="CW45" s="19">
        <f t="shared" si="5"/>
        <v>24</v>
      </c>
      <c r="CX45" s="37">
        <f t="shared" si="6"/>
        <v>106</v>
      </c>
      <c r="CY45" s="19">
        <f t="shared" si="7"/>
        <v>6</v>
      </c>
      <c r="CZ45" s="19">
        <f t="shared" si="8"/>
        <v>12</v>
      </c>
    </row>
    <row r="46" spans="1:104" ht="15.75" customHeight="1" x14ac:dyDescent="0.35">
      <c r="A46" s="15" t="s">
        <v>157</v>
      </c>
      <c r="B46" s="16">
        <v>1</v>
      </c>
      <c r="C46" s="15" t="s">
        <v>105</v>
      </c>
      <c r="D46" s="16">
        <v>7</v>
      </c>
      <c r="E46" s="15">
        <v>2</v>
      </c>
      <c r="F46" s="15" t="s">
        <v>151</v>
      </c>
      <c r="G46" s="15" t="s">
        <v>107</v>
      </c>
      <c r="H46" s="15">
        <v>1</v>
      </c>
      <c r="I46" s="15">
        <v>2</v>
      </c>
      <c r="J46" s="17"/>
      <c r="K46" s="16">
        <v>4</v>
      </c>
      <c r="L46" s="16">
        <v>5</v>
      </c>
      <c r="M46" s="16">
        <v>38</v>
      </c>
      <c r="N46" s="16">
        <v>86</v>
      </c>
      <c r="O46" s="16">
        <v>124</v>
      </c>
      <c r="P46" s="16">
        <v>25</v>
      </c>
      <c r="Q46" s="16">
        <v>3</v>
      </c>
      <c r="R46" s="16">
        <v>21</v>
      </c>
      <c r="S46" s="16">
        <v>247</v>
      </c>
      <c r="T46" s="19">
        <v>5</v>
      </c>
      <c r="U46" s="19">
        <v>7</v>
      </c>
      <c r="V46" s="19">
        <v>3</v>
      </c>
      <c r="W46" s="19">
        <v>46</v>
      </c>
      <c r="X46" s="19">
        <v>142</v>
      </c>
      <c r="Y46" s="19">
        <v>188</v>
      </c>
      <c r="Z46" s="19">
        <v>8</v>
      </c>
      <c r="AA46" s="19">
        <v>8</v>
      </c>
      <c r="AB46" s="19">
        <v>16</v>
      </c>
      <c r="AC46" s="19">
        <v>0</v>
      </c>
      <c r="AD46" s="19">
        <v>67</v>
      </c>
      <c r="AE46" s="19">
        <v>61</v>
      </c>
      <c r="AF46" s="19">
        <v>91.04</v>
      </c>
      <c r="AG46" s="19">
        <v>13</v>
      </c>
      <c r="AH46" s="19">
        <v>115</v>
      </c>
      <c r="AI46" s="19">
        <v>128</v>
      </c>
      <c r="AJ46" s="19">
        <v>6</v>
      </c>
      <c r="AK46" s="19">
        <v>5</v>
      </c>
      <c r="AL46" s="19">
        <v>3</v>
      </c>
      <c r="AM46" s="19">
        <v>36</v>
      </c>
      <c r="AN46" s="19">
        <v>28</v>
      </c>
      <c r="AO46" s="19">
        <v>77.78</v>
      </c>
      <c r="AP46" s="16">
        <v>29</v>
      </c>
      <c r="AQ46" s="16">
        <v>5</v>
      </c>
      <c r="AR46" s="16">
        <v>41</v>
      </c>
      <c r="AS46" s="16">
        <v>7</v>
      </c>
      <c r="AT46" s="16">
        <v>49</v>
      </c>
      <c r="AU46" s="16">
        <v>3</v>
      </c>
      <c r="AV46" s="16">
        <v>30</v>
      </c>
      <c r="AW46" s="16">
        <v>5</v>
      </c>
      <c r="AX46" s="16">
        <v>44</v>
      </c>
      <c r="AY46" s="16">
        <v>1</v>
      </c>
      <c r="AZ46" s="16">
        <v>50</v>
      </c>
      <c r="BA46" s="16">
        <v>2</v>
      </c>
      <c r="BB46" s="16">
        <v>58</v>
      </c>
      <c r="BC46" s="16"/>
      <c r="BD46" s="16">
        <v>57</v>
      </c>
      <c r="BE46" s="16"/>
      <c r="BF46" s="16">
        <v>11</v>
      </c>
      <c r="BG46" s="16">
        <v>5</v>
      </c>
      <c r="BH46" s="16">
        <v>16</v>
      </c>
      <c r="BI46" s="16">
        <v>9</v>
      </c>
      <c r="BJ46" s="16">
        <v>8</v>
      </c>
      <c r="BK46" s="16">
        <v>17</v>
      </c>
      <c r="BL46" s="16">
        <v>4</v>
      </c>
      <c r="BM46" s="16">
        <v>8</v>
      </c>
      <c r="BN46" s="16">
        <v>8</v>
      </c>
      <c r="BO46" s="16">
        <v>7</v>
      </c>
      <c r="BP46" s="16">
        <v>5</v>
      </c>
      <c r="BQ46" s="16">
        <v>32</v>
      </c>
      <c r="BR46" s="16">
        <v>5</v>
      </c>
      <c r="BS46" s="16">
        <v>4</v>
      </c>
      <c r="BT46" s="16">
        <v>69</v>
      </c>
      <c r="BU46" s="16">
        <v>67</v>
      </c>
      <c r="BV46" s="16">
        <v>136</v>
      </c>
      <c r="BW46" s="16">
        <v>29</v>
      </c>
      <c r="BX46" s="16">
        <v>0</v>
      </c>
      <c r="BY46" s="16">
        <v>27</v>
      </c>
      <c r="BZ46" s="16">
        <v>360</v>
      </c>
      <c r="CA46" s="19">
        <v>4</v>
      </c>
      <c r="CB46" s="19">
        <v>5</v>
      </c>
      <c r="CC46" s="19">
        <v>4</v>
      </c>
      <c r="CD46" s="19">
        <v>46</v>
      </c>
      <c r="CE46" s="19">
        <v>147</v>
      </c>
      <c r="CF46" s="19">
        <v>193</v>
      </c>
      <c r="CG46" s="19">
        <v>8</v>
      </c>
      <c r="CH46" s="19">
        <v>8</v>
      </c>
      <c r="CI46" s="19">
        <v>16</v>
      </c>
      <c r="CJ46" s="19">
        <v>0</v>
      </c>
      <c r="CK46" s="19">
        <v>73</v>
      </c>
      <c r="CL46" s="19">
        <v>61</v>
      </c>
      <c r="CM46" s="19">
        <v>83.56</v>
      </c>
      <c r="CN46" s="19">
        <v>27</v>
      </c>
      <c r="CO46" s="19">
        <v>64</v>
      </c>
      <c r="CP46" s="19">
        <v>91</v>
      </c>
      <c r="CQ46" s="19">
        <v>6</v>
      </c>
      <c r="CR46" s="19">
        <v>5</v>
      </c>
      <c r="CS46" s="19">
        <v>3</v>
      </c>
      <c r="CT46" s="19">
        <v>36</v>
      </c>
      <c r="CU46" s="19">
        <v>26</v>
      </c>
      <c r="CV46" s="19">
        <v>72.22</v>
      </c>
      <c r="CW46" s="19">
        <f t="shared" si="5"/>
        <v>6</v>
      </c>
      <c r="CX46" s="19">
        <f t="shared" si="6"/>
        <v>12</v>
      </c>
      <c r="CY46" s="19">
        <f t="shared" si="7"/>
        <v>8</v>
      </c>
      <c r="CZ46" s="19">
        <f t="shared" si="8"/>
        <v>10</v>
      </c>
    </row>
    <row r="47" spans="1:104" ht="15.75" customHeight="1" x14ac:dyDescent="0.35">
      <c r="A47" s="15" t="s">
        <v>158</v>
      </c>
      <c r="B47" s="16">
        <v>2</v>
      </c>
      <c r="C47" s="15" t="s">
        <v>105</v>
      </c>
      <c r="D47" s="16">
        <v>6</v>
      </c>
      <c r="E47" s="15">
        <v>1</v>
      </c>
      <c r="F47" s="15" t="s">
        <v>159</v>
      </c>
      <c r="G47" s="15" t="s">
        <v>107</v>
      </c>
      <c r="H47" s="15">
        <v>2</v>
      </c>
      <c r="I47" s="15">
        <v>2</v>
      </c>
      <c r="J47" s="17"/>
      <c r="K47" s="16">
        <v>3</v>
      </c>
      <c r="L47" s="16">
        <v>0</v>
      </c>
      <c r="M47" s="16">
        <v>98</v>
      </c>
      <c r="N47" s="16">
        <v>170</v>
      </c>
      <c r="O47" s="16">
        <v>268</v>
      </c>
      <c r="P47" s="16">
        <v>23</v>
      </c>
      <c r="Q47" s="16">
        <v>3</v>
      </c>
      <c r="R47" s="16">
        <v>12</v>
      </c>
      <c r="S47" s="16">
        <v>257</v>
      </c>
      <c r="T47" s="19">
        <v>2</v>
      </c>
      <c r="U47" s="19">
        <v>4</v>
      </c>
      <c r="V47" s="19">
        <v>1</v>
      </c>
      <c r="W47" s="19">
        <v>107</v>
      </c>
      <c r="X47" s="19">
        <v>367</v>
      </c>
      <c r="Y47" s="19">
        <v>474</v>
      </c>
      <c r="Z47" s="19">
        <v>8</v>
      </c>
      <c r="AA47" s="19">
        <v>8</v>
      </c>
      <c r="AB47" s="19">
        <v>16</v>
      </c>
      <c r="AC47" s="19">
        <v>0</v>
      </c>
      <c r="AD47" s="19">
        <v>71</v>
      </c>
      <c r="AE47" s="19">
        <v>61</v>
      </c>
      <c r="AF47" s="19">
        <v>85.92</v>
      </c>
      <c r="AG47" s="19">
        <v>3</v>
      </c>
      <c r="AH47" s="19">
        <v>28</v>
      </c>
      <c r="AI47" s="19">
        <v>31</v>
      </c>
      <c r="AJ47" s="19">
        <v>3</v>
      </c>
      <c r="AK47" s="19">
        <v>2</v>
      </c>
      <c r="AL47" s="19">
        <v>2</v>
      </c>
      <c r="AM47" s="19">
        <v>10</v>
      </c>
      <c r="AN47" s="19">
        <v>8</v>
      </c>
      <c r="AO47" s="19">
        <v>80</v>
      </c>
      <c r="AP47" s="16">
        <v>13</v>
      </c>
      <c r="AQ47" s="16">
        <v>4</v>
      </c>
      <c r="AR47" s="16">
        <v>14</v>
      </c>
      <c r="AS47" s="16">
        <v>1</v>
      </c>
      <c r="AT47" s="16">
        <v>39</v>
      </c>
      <c r="AU47" s="16"/>
      <c r="AV47" s="16">
        <v>23</v>
      </c>
      <c r="AW47" s="16"/>
      <c r="AX47" s="16">
        <v>34</v>
      </c>
      <c r="AY47" s="16"/>
      <c r="AZ47" s="16">
        <v>41</v>
      </c>
      <c r="BA47" s="16"/>
      <c r="BB47" s="16">
        <v>39</v>
      </c>
      <c r="BC47" s="16"/>
      <c r="BD47" s="16">
        <v>52</v>
      </c>
      <c r="BE47" s="16"/>
      <c r="BF47" s="16">
        <v>8</v>
      </c>
      <c r="BG47" s="16">
        <v>5</v>
      </c>
      <c r="BH47" s="16">
        <v>13</v>
      </c>
      <c r="BI47" s="16">
        <v>8</v>
      </c>
      <c r="BJ47" s="16">
        <v>8</v>
      </c>
      <c r="BK47" s="16">
        <v>16</v>
      </c>
      <c r="BL47" s="16">
        <v>4</v>
      </c>
      <c r="BM47" s="16">
        <v>8</v>
      </c>
      <c r="BN47" s="16">
        <v>8</v>
      </c>
      <c r="BO47" s="16">
        <v>7</v>
      </c>
      <c r="BP47" s="16">
        <v>5</v>
      </c>
      <c r="BQ47" s="16">
        <v>32</v>
      </c>
      <c r="BR47" s="16">
        <v>5</v>
      </c>
      <c r="BS47" s="16">
        <v>0</v>
      </c>
      <c r="BT47" s="16">
        <v>76</v>
      </c>
      <c r="BU47" s="16">
        <v>112</v>
      </c>
      <c r="BV47" s="16">
        <v>188</v>
      </c>
      <c r="BW47" s="16">
        <v>33</v>
      </c>
      <c r="BX47" s="16">
        <v>0</v>
      </c>
      <c r="BY47" s="16">
        <v>21</v>
      </c>
      <c r="BZ47" s="16">
        <v>406</v>
      </c>
      <c r="CA47" s="19">
        <v>3</v>
      </c>
      <c r="CB47" s="19">
        <v>4</v>
      </c>
      <c r="CC47" s="19">
        <v>2</v>
      </c>
      <c r="CD47" s="19">
        <v>52</v>
      </c>
      <c r="CE47" s="19">
        <v>320</v>
      </c>
      <c r="CF47" s="19">
        <v>372</v>
      </c>
      <c r="CG47" s="19">
        <v>8</v>
      </c>
      <c r="CH47" s="19">
        <v>8</v>
      </c>
      <c r="CI47" s="19">
        <v>16</v>
      </c>
      <c r="CJ47" s="19">
        <v>0</v>
      </c>
      <c r="CK47" s="19">
        <v>73</v>
      </c>
      <c r="CL47" s="19">
        <v>61</v>
      </c>
      <c r="CM47" s="19">
        <v>83.56</v>
      </c>
      <c r="CN47" s="20">
        <v>35849</v>
      </c>
      <c r="CO47" s="20">
        <v>-35744</v>
      </c>
      <c r="CP47" s="19">
        <v>105</v>
      </c>
      <c r="CQ47" s="19">
        <v>3</v>
      </c>
      <c r="CR47" s="19">
        <v>2</v>
      </c>
      <c r="CS47" s="19">
        <v>2</v>
      </c>
      <c r="CT47" s="19">
        <v>12</v>
      </c>
      <c r="CU47" s="19">
        <v>8</v>
      </c>
      <c r="CV47" s="19">
        <v>66.67</v>
      </c>
      <c r="CW47" s="19">
        <f t="shared" si="5"/>
        <v>10</v>
      </c>
      <c r="CX47" s="19">
        <f t="shared" si="6"/>
        <v>12</v>
      </c>
      <c r="CY47" s="19">
        <f t="shared" si="7"/>
        <v>2</v>
      </c>
      <c r="CZ47" s="19">
        <f t="shared" si="8"/>
        <v>4</v>
      </c>
    </row>
    <row r="48" spans="1:104" ht="15.75" customHeight="1" x14ac:dyDescent="0.35">
      <c r="A48" s="15" t="s">
        <v>160</v>
      </c>
      <c r="B48" s="16">
        <v>2</v>
      </c>
      <c r="C48" s="15" t="s">
        <v>105</v>
      </c>
      <c r="D48" s="16">
        <v>6</v>
      </c>
      <c r="E48" s="15">
        <v>1</v>
      </c>
      <c r="F48" s="15" t="s">
        <v>159</v>
      </c>
      <c r="G48" s="15" t="s">
        <v>107</v>
      </c>
      <c r="H48" s="15">
        <v>2</v>
      </c>
      <c r="I48" s="15">
        <v>2</v>
      </c>
      <c r="J48" s="17"/>
      <c r="K48" s="16">
        <v>5</v>
      </c>
      <c r="L48" s="16">
        <v>5</v>
      </c>
      <c r="M48" s="16">
        <v>119</v>
      </c>
      <c r="N48" s="16">
        <v>165</v>
      </c>
      <c r="O48" s="16">
        <v>284</v>
      </c>
      <c r="P48" s="16">
        <v>23</v>
      </c>
      <c r="Q48" s="16">
        <v>3</v>
      </c>
      <c r="R48" s="16">
        <v>17</v>
      </c>
      <c r="S48" s="16">
        <v>373</v>
      </c>
      <c r="T48" s="19">
        <v>2</v>
      </c>
      <c r="U48" s="19">
        <v>4</v>
      </c>
      <c r="V48" s="19">
        <v>1</v>
      </c>
      <c r="W48" s="19">
        <v>39</v>
      </c>
      <c r="X48" s="19">
        <v>305</v>
      </c>
      <c r="Y48" s="19">
        <v>344</v>
      </c>
      <c r="Z48" s="19">
        <v>8</v>
      </c>
      <c r="AA48" s="19">
        <v>8</v>
      </c>
      <c r="AB48" s="19">
        <v>16</v>
      </c>
      <c r="AC48" s="19">
        <v>0</v>
      </c>
      <c r="AD48" s="19">
        <v>87</v>
      </c>
      <c r="AE48" s="19">
        <v>61</v>
      </c>
      <c r="AF48" s="19">
        <v>70.11</v>
      </c>
      <c r="AG48" s="19">
        <v>19</v>
      </c>
      <c r="AH48" s="19">
        <v>155</v>
      </c>
      <c r="AI48" s="19">
        <v>174</v>
      </c>
      <c r="AJ48" s="19">
        <v>9</v>
      </c>
      <c r="AK48" s="19">
        <v>8</v>
      </c>
      <c r="AL48" s="19">
        <v>4</v>
      </c>
      <c r="AM48" s="19">
        <v>48</v>
      </c>
      <c r="AN48" s="19">
        <v>44</v>
      </c>
      <c r="AO48" s="19">
        <v>91.67</v>
      </c>
      <c r="AP48" s="16">
        <v>17</v>
      </c>
      <c r="AQ48" s="16">
        <v>3</v>
      </c>
      <c r="AR48" s="16">
        <v>28</v>
      </c>
      <c r="AS48" s="16"/>
      <c r="AT48" s="16">
        <v>42</v>
      </c>
      <c r="AU48" s="16"/>
      <c r="AV48" s="16">
        <v>30</v>
      </c>
      <c r="AW48" s="16">
        <v>1</v>
      </c>
      <c r="AX48" s="16">
        <v>33</v>
      </c>
      <c r="AY48" s="16"/>
      <c r="AZ48" s="16">
        <v>41</v>
      </c>
      <c r="BA48" s="16">
        <v>2</v>
      </c>
      <c r="BB48" s="16">
        <v>44</v>
      </c>
      <c r="BC48" s="16"/>
      <c r="BD48" s="16">
        <v>38</v>
      </c>
      <c r="BE48" s="16"/>
      <c r="BF48" s="16">
        <v>13</v>
      </c>
      <c r="BG48" s="16">
        <v>10</v>
      </c>
      <c r="BH48" s="16">
        <v>23</v>
      </c>
      <c r="BI48" s="16">
        <v>13</v>
      </c>
      <c r="BJ48" s="16">
        <v>10</v>
      </c>
      <c r="BK48" s="16">
        <v>23</v>
      </c>
      <c r="BL48" s="16">
        <v>6</v>
      </c>
      <c r="BM48" s="16">
        <v>9</v>
      </c>
      <c r="BN48" s="16">
        <v>15</v>
      </c>
      <c r="BO48" s="16">
        <v>9</v>
      </c>
      <c r="BP48" s="16">
        <v>7</v>
      </c>
      <c r="BQ48" s="16">
        <v>46</v>
      </c>
      <c r="BR48" s="16">
        <v>5</v>
      </c>
      <c r="BS48" s="16">
        <v>4</v>
      </c>
      <c r="BT48" s="16">
        <v>89</v>
      </c>
      <c r="BU48" s="16">
        <v>111</v>
      </c>
      <c r="BV48" s="16">
        <v>200</v>
      </c>
      <c r="BW48" s="16">
        <v>29</v>
      </c>
      <c r="BX48" s="16">
        <v>0</v>
      </c>
      <c r="BY48" s="16">
        <v>23</v>
      </c>
      <c r="BZ48" s="16">
        <v>245</v>
      </c>
      <c r="CA48" s="19">
        <v>2</v>
      </c>
      <c r="CB48" s="19">
        <v>4</v>
      </c>
      <c r="CC48" s="19">
        <v>1</v>
      </c>
      <c r="CD48" s="19">
        <v>55</v>
      </c>
      <c r="CE48" s="19">
        <v>181</v>
      </c>
      <c r="CF48" s="19">
        <v>236</v>
      </c>
      <c r="CG48" s="19">
        <v>8</v>
      </c>
      <c r="CH48" s="19">
        <v>8</v>
      </c>
      <c r="CI48" s="19">
        <v>16</v>
      </c>
      <c r="CJ48" s="19">
        <v>0</v>
      </c>
      <c r="CK48" s="19">
        <v>73</v>
      </c>
      <c r="CL48" s="19">
        <v>61</v>
      </c>
      <c r="CM48" s="19">
        <v>83.56</v>
      </c>
      <c r="CN48" s="19">
        <v>17</v>
      </c>
      <c r="CO48" s="19">
        <v>85</v>
      </c>
      <c r="CP48" s="19">
        <v>102</v>
      </c>
      <c r="CQ48" s="19">
        <v>8</v>
      </c>
      <c r="CR48" s="19">
        <v>6</v>
      </c>
      <c r="CS48" s="19">
        <v>4</v>
      </c>
      <c r="CT48" s="19">
        <v>43</v>
      </c>
      <c r="CU48" s="19">
        <v>37</v>
      </c>
      <c r="CV48" s="19">
        <v>86.05</v>
      </c>
      <c r="CW48" s="19">
        <f t="shared" si="5"/>
        <v>26</v>
      </c>
      <c r="CX48" s="19">
        <f t="shared" si="6"/>
        <v>12</v>
      </c>
      <c r="CY48" s="19">
        <f t="shared" si="7"/>
        <v>4</v>
      </c>
      <c r="CZ48" s="19">
        <f t="shared" si="8"/>
        <v>6</v>
      </c>
    </row>
    <row r="49" spans="1:104" ht="15.75" customHeight="1" x14ac:dyDescent="0.35">
      <c r="A49" s="15" t="s">
        <v>161</v>
      </c>
      <c r="B49" s="16">
        <v>2</v>
      </c>
      <c r="C49" s="15" t="s">
        <v>105</v>
      </c>
      <c r="D49" s="16">
        <v>6</v>
      </c>
      <c r="E49" s="15">
        <v>1</v>
      </c>
      <c r="F49" s="15" t="s">
        <v>159</v>
      </c>
      <c r="G49" s="15" t="s">
        <v>107</v>
      </c>
      <c r="H49" s="15">
        <v>2</v>
      </c>
      <c r="I49" s="15">
        <v>2</v>
      </c>
      <c r="J49" s="17"/>
      <c r="K49" s="16">
        <v>4</v>
      </c>
      <c r="L49" s="16">
        <v>0</v>
      </c>
      <c r="M49" s="16">
        <v>70</v>
      </c>
      <c r="N49" s="16">
        <v>90</v>
      </c>
      <c r="O49" s="16">
        <v>160</v>
      </c>
      <c r="P49" s="16">
        <v>24</v>
      </c>
      <c r="Q49" s="16">
        <v>1</v>
      </c>
      <c r="R49" s="16">
        <v>27</v>
      </c>
      <c r="S49" s="16">
        <v>344</v>
      </c>
      <c r="T49" s="21">
        <v>1</v>
      </c>
      <c r="U49" s="21">
        <v>2</v>
      </c>
      <c r="V49" s="21">
        <v>0</v>
      </c>
      <c r="W49" s="19">
        <v>62</v>
      </c>
      <c r="X49" s="19">
        <v>325</v>
      </c>
      <c r="Y49" s="19">
        <v>387</v>
      </c>
      <c r="Z49" s="19">
        <v>8</v>
      </c>
      <c r="AA49" s="19">
        <v>8</v>
      </c>
      <c r="AB49" s="19">
        <v>16</v>
      </c>
      <c r="AC49" s="19">
        <v>0</v>
      </c>
      <c r="AD49" s="19">
        <v>69</v>
      </c>
      <c r="AE49" s="19">
        <v>61</v>
      </c>
      <c r="AF49" s="19">
        <v>88.41</v>
      </c>
      <c r="AG49" s="19">
        <v>19</v>
      </c>
      <c r="AH49" s="19">
        <v>124</v>
      </c>
      <c r="AI49" s="19">
        <v>143</v>
      </c>
      <c r="AJ49" s="19">
        <v>6</v>
      </c>
      <c r="AK49" s="19">
        <v>5</v>
      </c>
      <c r="AL49" s="19">
        <v>3</v>
      </c>
      <c r="AM49" s="19">
        <v>36</v>
      </c>
      <c r="AN49" s="19">
        <v>26</v>
      </c>
      <c r="AO49" s="19">
        <v>72.22</v>
      </c>
      <c r="AP49" s="16">
        <v>18</v>
      </c>
      <c r="AQ49" s="16">
        <v>5</v>
      </c>
      <c r="AR49" s="16">
        <v>22</v>
      </c>
      <c r="AS49" s="16"/>
      <c r="AT49" s="16">
        <v>43</v>
      </c>
      <c r="AU49" s="16"/>
      <c r="AV49" s="16">
        <v>35</v>
      </c>
      <c r="AW49" s="16"/>
      <c r="AX49" s="16">
        <v>45</v>
      </c>
      <c r="AY49" s="16"/>
      <c r="AZ49" s="16">
        <v>50</v>
      </c>
      <c r="BA49" s="16"/>
      <c r="BB49" s="16">
        <v>50</v>
      </c>
      <c r="BC49" s="16"/>
      <c r="BD49" s="16">
        <v>53</v>
      </c>
      <c r="BE49" s="16"/>
      <c r="BF49" s="16">
        <v>8</v>
      </c>
      <c r="BG49" s="16">
        <v>8</v>
      </c>
      <c r="BH49" s="16">
        <v>16</v>
      </c>
      <c r="BI49" s="16">
        <v>8</v>
      </c>
      <c r="BJ49" s="16">
        <v>8</v>
      </c>
      <c r="BK49" s="16">
        <v>16</v>
      </c>
      <c r="BL49" s="16">
        <v>4</v>
      </c>
      <c r="BM49" s="16">
        <v>8</v>
      </c>
      <c r="BN49" s="16">
        <v>8</v>
      </c>
      <c r="BO49" s="16">
        <v>6</v>
      </c>
      <c r="BP49" s="16">
        <v>5</v>
      </c>
      <c r="BQ49" s="16">
        <v>31</v>
      </c>
      <c r="BR49" s="16">
        <v>4</v>
      </c>
      <c r="BS49" s="16">
        <v>4</v>
      </c>
      <c r="BT49" s="16">
        <v>47</v>
      </c>
      <c r="BU49" s="16">
        <v>118</v>
      </c>
      <c r="BV49" s="16">
        <v>165</v>
      </c>
      <c r="BW49" s="16">
        <v>30</v>
      </c>
      <c r="BX49" s="16">
        <v>0</v>
      </c>
      <c r="BY49" s="16">
        <v>25</v>
      </c>
      <c r="BZ49" s="16">
        <v>311</v>
      </c>
      <c r="CA49" s="40">
        <v>6</v>
      </c>
      <c r="CB49" s="40">
        <v>9</v>
      </c>
      <c r="CC49" s="40">
        <v>2</v>
      </c>
      <c r="CD49" s="40">
        <v>46</v>
      </c>
      <c r="CE49" s="40">
        <v>371</v>
      </c>
      <c r="CF49" s="40">
        <v>417</v>
      </c>
      <c r="CG49" s="40">
        <v>8</v>
      </c>
      <c r="CH49" s="40">
        <v>8</v>
      </c>
      <c r="CI49" s="40">
        <v>16</v>
      </c>
      <c r="CJ49" s="40">
        <v>0</v>
      </c>
      <c r="CK49" s="40">
        <v>65</v>
      </c>
      <c r="CL49" s="40">
        <v>61</v>
      </c>
      <c r="CM49" s="40">
        <v>93.85</v>
      </c>
      <c r="CN49" s="40">
        <v>3</v>
      </c>
      <c r="CO49" s="40">
        <v>15</v>
      </c>
      <c r="CP49" s="40">
        <v>18</v>
      </c>
      <c r="CQ49" s="40">
        <v>4</v>
      </c>
      <c r="CR49" s="40">
        <v>1</v>
      </c>
      <c r="CS49" s="40">
        <v>3</v>
      </c>
      <c r="CT49" s="40">
        <v>9</v>
      </c>
      <c r="CU49" s="40">
        <v>9</v>
      </c>
      <c r="CV49" s="40">
        <v>100</v>
      </c>
      <c r="CW49" s="19">
        <f t="shared" si="5"/>
        <v>8</v>
      </c>
      <c r="CX49" s="19">
        <f t="shared" si="6"/>
        <v>4</v>
      </c>
      <c r="CY49" s="19">
        <f t="shared" si="7"/>
        <v>10</v>
      </c>
      <c r="CZ49" s="19">
        <f t="shared" si="8"/>
        <v>0</v>
      </c>
    </row>
    <row r="50" spans="1:104" ht="15.75" customHeight="1" x14ac:dyDescent="0.35">
      <c r="A50" s="15" t="s">
        <v>162</v>
      </c>
      <c r="B50" s="16">
        <v>2</v>
      </c>
      <c r="C50" s="15" t="s">
        <v>109</v>
      </c>
      <c r="D50" s="16">
        <v>6</v>
      </c>
      <c r="E50" s="15">
        <v>1</v>
      </c>
      <c r="F50" s="15" t="s">
        <v>159</v>
      </c>
      <c r="G50" s="15" t="s">
        <v>107</v>
      </c>
      <c r="H50" s="15">
        <v>2</v>
      </c>
      <c r="I50" s="15">
        <v>2</v>
      </c>
      <c r="J50" s="17"/>
      <c r="K50" s="16">
        <v>6</v>
      </c>
      <c r="L50" s="16">
        <v>3</v>
      </c>
      <c r="M50" s="16">
        <v>119</v>
      </c>
      <c r="N50" s="16">
        <v>110</v>
      </c>
      <c r="O50" s="16">
        <v>229</v>
      </c>
      <c r="P50" s="16">
        <v>26</v>
      </c>
      <c r="Q50" s="16">
        <v>3</v>
      </c>
      <c r="R50" s="16">
        <v>24</v>
      </c>
      <c r="S50" s="16">
        <v>365</v>
      </c>
      <c r="T50" s="19">
        <v>3</v>
      </c>
      <c r="U50" s="19">
        <v>4</v>
      </c>
      <c r="V50" s="19">
        <v>4</v>
      </c>
      <c r="W50" s="19">
        <v>46</v>
      </c>
      <c r="X50" s="19">
        <v>189</v>
      </c>
      <c r="Y50" s="19">
        <v>235</v>
      </c>
      <c r="Z50" s="19">
        <v>8</v>
      </c>
      <c r="AA50" s="19">
        <v>8</v>
      </c>
      <c r="AB50" s="19">
        <v>16</v>
      </c>
      <c r="AC50" s="19">
        <v>0</v>
      </c>
      <c r="AD50" s="19">
        <v>77</v>
      </c>
      <c r="AE50" s="19">
        <v>61</v>
      </c>
      <c r="AF50" s="19">
        <v>79.22</v>
      </c>
      <c r="AG50" s="19">
        <v>8</v>
      </c>
      <c r="AH50" s="19">
        <v>38</v>
      </c>
      <c r="AI50" s="19">
        <v>46</v>
      </c>
      <c r="AJ50" s="19">
        <v>4</v>
      </c>
      <c r="AK50" s="19">
        <v>4</v>
      </c>
      <c r="AL50" s="19">
        <v>2</v>
      </c>
      <c r="AM50" s="19">
        <v>22</v>
      </c>
      <c r="AN50" s="19">
        <v>18</v>
      </c>
      <c r="AO50" s="19">
        <v>81.819999999999993</v>
      </c>
      <c r="AP50" s="16">
        <v>18</v>
      </c>
      <c r="AQ50" s="16">
        <v>4</v>
      </c>
      <c r="AR50" s="16">
        <v>21</v>
      </c>
      <c r="AS50" s="16">
        <v>1</v>
      </c>
      <c r="AT50" s="16">
        <v>41</v>
      </c>
      <c r="AU50" s="16"/>
      <c r="AV50" s="16">
        <v>33</v>
      </c>
      <c r="AW50" s="16"/>
      <c r="AX50" s="16">
        <v>42</v>
      </c>
      <c r="AY50" s="16"/>
      <c r="AZ50" s="16">
        <v>45</v>
      </c>
      <c r="BA50" s="16">
        <v>1</v>
      </c>
      <c r="BB50" s="16">
        <v>55</v>
      </c>
      <c r="BC50" s="16"/>
      <c r="BD50" s="16">
        <v>49</v>
      </c>
      <c r="BE50" s="16"/>
      <c r="BF50" s="16">
        <v>8</v>
      </c>
      <c r="BG50" s="16">
        <v>5</v>
      </c>
      <c r="BH50" s="16">
        <v>13</v>
      </c>
      <c r="BI50" s="16">
        <v>8</v>
      </c>
      <c r="BJ50" s="16">
        <v>8</v>
      </c>
      <c r="BK50" s="16">
        <v>16</v>
      </c>
      <c r="BL50" s="16">
        <v>4</v>
      </c>
      <c r="BM50" s="16">
        <v>8</v>
      </c>
      <c r="BN50" s="16">
        <v>8</v>
      </c>
      <c r="BO50" s="16">
        <v>6</v>
      </c>
      <c r="BP50" s="16">
        <v>5</v>
      </c>
      <c r="BQ50" s="16">
        <v>31</v>
      </c>
      <c r="BR50" s="16">
        <v>5</v>
      </c>
      <c r="BS50" s="16">
        <v>3</v>
      </c>
      <c r="BT50" s="16">
        <v>50</v>
      </c>
      <c r="BU50" s="16">
        <v>89</v>
      </c>
      <c r="BV50" s="16">
        <v>139</v>
      </c>
      <c r="BW50" s="16">
        <v>32</v>
      </c>
      <c r="BX50" s="16">
        <v>0</v>
      </c>
      <c r="BY50" s="16">
        <v>26</v>
      </c>
      <c r="BZ50" s="16">
        <v>220</v>
      </c>
      <c r="CA50" s="19">
        <v>3</v>
      </c>
      <c r="CB50" s="19">
        <v>4</v>
      </c>
      <c r="CC50" s="19">
        <v>4</v>
      </c>
      <c r="CD50" s="19">
        <v>26</v>
      </c>
      <c r="CE50" s="19">
        <v>82</v>
      </c>
      <c r="CF50" s="19">
        <v>108</v>
      </c>
      <c r="CG50" s="19">
        <v>8</v>
      </c>
      <c r="CH50" s="19">
        <v>8</v>
      </c>
      <c r="CI50" s="19">
        <v>16</v>
      </c>
      <c r="CJ50" s="19">
        <v>0</v>
      </c>
      <c r="CK50" s="19">
        <v>61</v>
      </c>
      <c r="CL50" s="19">
        <v>61</v>
      </c>
      <c r="CM50" s="19">
        <v>100</v>
      </c>
      <c r="CN50" s="19">
        <v>30</v>
      </c>
      <c r="CO50" s="19">
        <v>86</v>
      </c>
      <c r="CP50" s="19">
        <v>116</v>
      </c>
      <c r="CQ50" s="19">
        <v>7</v>
      </c>
      <c r="CR50" s="19">
        <v>10</v>
      </c>
      <c r="CS50" s="19">
        <v>2</v>
      </c>
      <c r="CT50" s="19">
        <v>51</v>
      </c>
      <c r="CU50" s="19">
        <v>45</v>
      </c>
      <c r="CV50" s="19">
        <v>88.24</v>
      </c>
      <c r="CW50" s="19">
        <f t="shared" si="5"/>
        <v>16</v>
      </c>
      <c r="CX50" s="19">
        <f t="shared" si="6"/>
        <v>0</v>
      </c>
      <c r="CY50" s="19">
        <f t="shared" si="7"/>
        <v>4</v>
      </c>
      <c r="CZ50" s="19">
        <f t="shared" si="8"/>
        <v>6</v>
      </c>
    </row>
    <row r="51" spans="1:104" ht="15.75" customHeight="1" x14ac:dyDescent="0.35">
      <c r="A51" s="15" t="s">
        <v>163</v>
      </c>
      <c r="B51" s="16">
        <v>2</v>
      </c>
      <c r="C51" s="15" t="s">
        <v>105</v>
      </c>
      <c r="D51" s="16">
        <v>6</v>
      </c>
      <c r="E51" s="15">
        <v>1</v>
      </c>
      <c r="F51" s="15" t="s">
        <v>159</v>
      </c>
      <c r="G51" s="15" t="s">
        <v>107</v>
      </c>
      <c r="H51" s="15">
        <v>2</v>
      </c>
      <c r="I51" s="15">
        <v>2</v>
      </c>
      <c r="J51" s="17"/>
      <c r="K51" s="16">
        <v>5</v>
      </c>
      <c r="L51" s="16">
        <v>4</v>
      </c>
      <c r="M51" s="16">
        <v>53</v>
      </c>
      <c r="N51" s="16">
        <v>87</v>
      </c>
      <c r="O51" s="16">
        <v>140</v>
      </c>
      <c r="P51" s="16">
        <v>26</v>
      </c>
      <c r="Q51" s="16">
        <v>4</v>
      </c>
      <c r="R51" s="16">
        <v>26</v>
      </c>
      <c r="S51" s="16">
        <v>329</v>
      </c>
      <c r="T51" s="19">
        <v>2</v>
      </c>
      <c r="U51" s="19">
        <v>4</v>
      </c>
      <c r="V51" s="19">
        <v>1</v>
      </c>
      <c r="W51" s="19">
        <v>45</v>
      </c>
      <c r="X51" s="19">
        <v>186</v>
      </c>
      <c r="Y51" s="19">
        <v>231</v>
      </c>
      <c r="Z51" s="19">
        <v>8</v>
      </c>
      <c r="AA51" s="19">
        <v>8</v>
      </c>
      <c r="AB51" s="19">
        <v>16</v>
      </c>
      <c r="AC51" s="19">
        <v>0</v>
      </c>
      <c r="AD51" s="19">
        <v>71</v>
      </c>
      <c r="AE51" s="19">
        <v>61</v>
      </c>
      <c r="AF51" s="19">
        <v>85.92</v>
      </c>
      <c r="AG51" s="19">
        <v>9</v>
      </c>
      <c r="AH51" s="19">
        <v>58</v>
      </c>
      <c r="AI51" s="19">
        <v>67</v>
      </c>
      <c r="AJ51" s="19">
        <v>4</v>
      </c>
      <c r="AK51" s="19">
        <v>4</v>
      </c>
      <c r="AL51" s="19">
        <v>2</v>
      </c>
      <c r="AM51" s="19">
        <v>20</v>
      </c>
      <c r="AN51" s="19">
        <v>18</v>
      </c>
      <c r="AO51" s="19">
        <v>90</v>
      </c>
      <c r="AP51" s="16">
        <v>18</v>
      </c>
      <c r="AQ51" s="16">
        <v>5</v>
      </c>
      <c r="AR51" s="16">
        <v>22</v>
      </c>
      <c r="AS51" s="16">
        <v>1</v>
      </c>
      <c r="AT51" s="16">
        <v>43</v>
      </c>
      <c r="AU51" s="16"/>
      <c r="AV51" s="16">
        <v>31</v>
      </c>
      <c r="AW51" s="16"/>
      <c r="AX51" s="16">
        <v>43</v>
      </c>
      <c r="AY51" s="16"/>
      <c r="AZ51" s="16">
        <v>53</v>
      </c>
      <c r="BA51" s="16">
        <v>1</v>
      </c>
      <c r="BB51" s="16">
        <v>51</v>
      </c>
      <c r="BC51" s="16"/>
      <c r="BD51" s="16">
        <v>50</v>
      </c>
      <c r="BE51" s="16"/>
      <c r="BF51" s="16">
        <v>8</v>
      </c>
      <c r="BG51" s="16">
        <v>5</v>
      </c>
      <c r="BH51" s="16">
        <v>13</v>
      </c>
      <c r="BI51" s="16">
        <v>8</v>
      </c>
      <c r="BJ51" s="16">
        <v>8</v>
      </c>
      <c r="BK51" s="16">
        <v>16</v>
      </c>
      <c r="BL51" s="16">
        <v>4</v>
      </c>
      <c r="BM51" s="16">
        <v>8</v>
      </c>
      <c r="BN51" s="16">
        <v>9</v>
      </c>
      <c r="BO51" s="16">
        <v>6</v>
      </c>
      <c r="BP51" s="16">
        <v>5</v>
      </c>
      <c r="BQ51" s="16">
        <v>32</v>
      </c>
      <c r="BR51" s="16">
        <v>6</v>
      </c>
      <c r="BS51" s="16">
        <v>3</v>
      </c>
      <c r="BT51" s="16">
        <v>74</v>
      </c>
      <c r="BU51" s="16">
        <v>122</v>
      </c>
      <c r="BV51" s="16">
        <v>196</v>
      </c>
      <c r="BW51" s="16">
        <v>26</v>
      </c>
      <c r="BX51" s="16">
        <v>1</v>
      </c>
      <c r="BY51" s="16">
        <v>31</v>
      </c>
      <c r="BZ51" s="16">
        <v>274</v>
      </c>
      <c r="CA51" s="19">
        <v>3</v>
      </c>
      <c r="CB51" s="19">
        <v>5</v>
      </c>
      <c r="CC51" s="19">
        <v>3</v>
      </c>
      <c r="CD51" s="19">
        <v>28</v>
      </c>
      <c r="CE51" s="19">
        <v>84</v>
      </c>
      <c r="CF51" s="19">
        <v>112</v>
      </c>
      <c r="CG51" s="19">
        <v>8</v>
      </c>
      <c r="CH51" s="19">
        <v>8</v>
      </c>
      <c r="CI51" s="19">
        <v>16</v>
      </c>
      <c r="CJ51" s="19">
        <v>0</v>
      </c>
      <c r="CK51" s="19">
        <v>65</v>
      </c>
      <c r="CL51" s="19">
        <v>61</v>
      </c>
      <c r="CM51" s="19">
        <v>93.85</v>
      </c>
      <c r="CN51" s="19">
        <v>26</v>
      </c>
      <c r="CO51" s="19">
        <v>36</v>
      </c>
      <c r="CP51" s="19">
        <v>62</v>
      </c>
      <c r="CQ51" s="19">
        <v>4</v>
      </c>
      <c r="CR51" s="19">
        <v>5</v>
      </c>
      <c r="CS51" s="19">
        <v>1</v>
      </c>
      <c r="CT51" s="19">
        <v>34</v>
      </c>
      <c r="CU51" s="19">
        <v>26</v>
      </c>
      <c r="CV51" s="19">
        <v>76.47</v>
      </c>
      <c r="CW51" s="19">
        <f t="shared" si="5"/>
        <v>10</v>
      </c>
      <c r="CX51" s="19">
        <f t="shared" si="6"/>
        <v>4</v>
      </c>
      <c r="CY51" s="19">
        <f t="shared" si="7"/>
        <v>2</v>
      </c>
      <c r="CZ51" s="19">
        <f t="shared" si="8"/>
        <v>8</v>
      </c>
    </row>
    <row r="52" spans="1:104" ht="15.75" customHeight="1" x14ac:dyDescent="0.35">
      <c r="A52" s="44" t="s">
        <v>164</v>
      </c>
      <c r="B52" s="16">
        <v>2</v>
      </c>
      <c r="C52" s="15" t="s">
        <v>109</v>
      </c>
      <c r="D52" s="16">
        <v>6</v>
      </c>
      <c r="E52" s="15">
        <v>1</v>
      </c>
      <c r="F52" s="15" t="s">
        <v>159</v>
      </c>
      <c r="G52" s="15" t="s">
        <v>143</v>
      </c>
      <c r="H52" s="15">
        <v>2</v>
      </c>
      <c r="I52" s="15">
        <v>2</v>
      </c>
      <c r="J52" s="17"/>
      <c r="K52" s="16">
        <v>0</v>
      </c>
      <c r="L52" s="16">
        <v>3</v>
      </c>
      <c r="M52" s="16">
        <v>28</v>
      </c>
      <c r="N52" s="16">
        <v>102</v>
      </c>
      <c r="O52" s="16">
        <v>130</v>
      </c>
      <c r="P52" s="16">
        <v>16</v>
      </c>
      <c r="Q52" s="16">
        <v>3</v>
      </c>
      <c r="R52" s="16">
        <v>15</v>
      </c>
      <c r="S52" s="16">
        <v>394</v>
      </c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16">
        <v>10</v>
      </c>
      <c r="AQ52" s="16">
        <v>4</v>
      </c>
      <c r="AR52" s="16">
        <v>15</v>
      </c>
      <c r="AS52" s="16"/>
      <c r="AT52" s="16">
        <v>35</v>
      </c>
      <c r="AU52" s="16"/>
      <c r="AV52" s="16">
        <v>26</v>
      </c>
      <c r="AW52" s="16"/>
      <c r="AX52" s="16">
        <v>33</v>
      </c>
      <c r="AY52" s="16"/>
      <c r="AZ52" s="16">
        <v>29</v>
      </c>
      <c r="BA52" s="16">
        <v>1</v>
      </c>
      <c r="BB52" s="16">
        <v>29</v>
      </c>
      <c r="BC52" s="16"/>
      <c r="BD52" s="16">
        <v>29</v>
      </c>
      <c r="BE52" s="16">
        <v>1</v>
      </c>
      <c r="BF52" s="16">
        <v>8</v>
      </c>
      <c r="BG52" s="16">
        <v>6</v>
      </c>
      <c r="BH52" s="16">
        <v>14</v>
      </c>
      <c r="BI52" s="16">
        <v>11</v>
      </c>
      <c r="BJ52" s="16">
        <v>10</v>
      </c>
      <c r="BK52" s="16">
        <v>21</v>
      </c>
      <c r="BL52" s="16">
        <v>4</v>
      </c>
      <c r="BM52" s="16">
        <v>15</v>
      </c>
      <c r="BN52" s="16">
        <v>13</v>
      </c>
      <c r="BO52" s="16">
        <v>10</v>
      </c>
      <c r="BP52" s="16">
        <v>6</v>
      </c>
      <c r="BQ52" s="16">
        <v>48</v>
      </c>
      <c r="BR52" s="16">
        <v>3</v>
      </c>
      <c r="BS52" s="16">
        <v>0</v>
      </c>
      <c r="BT52" s="16">
        <v>61</v>
      </c>
      <c r="BU52" s="16">
        <v>148</v>
      </c>
      <c r="BV52" s="16">
        <v>209</v>
      </c>
      <c r="BW52" s="16">
        <v>26</v>
      </c>
      <c r="BX52" s="16">
        <v>1</v>
      </c>
      <c r="BY52" s="16">
        <v>15</v>
      </c>
      <c r="BZ52" s="16">
        <v>349</v>
      </c>
      <c r="CA52" s="19">
        <v>2</v>
      </c>
      <c r="CB52" s="19">
        <v>3</v>
      </c>
      <c r="CC52" s="19">
        <v>2</v>
      </c>
      <c r="CD52" s="19">
        <v>66</v>
      </c>
      <c r="CE52" s="19">
        <v>165</v>
      </c>
      <c r="CF52" s="19">
        <v>231</v>
      </c>
      <c r="CG52" s="19">
        <v>8</v>
      </c>
      <c r="CH52" s="19">
        <v>9</v>
      </c>
      <c r="CI52" s="19">
        <v>15</v>
      </c>
      <c r="CJ52" s="19">
        <v>1</v>
      </c>
      <c r="CK52" s="19">
        <v>68</v>
      </c>
      <c r="CL52" s="19">
        <v>62</v>
      </c>
      <c r="CM52" s="19">
        <v>91.18</v>
      </c>
      <c r="CN52" s="19">
        <v>140</v>
      </c>
      <c r="CO52" s="19">
        <v>64</v>
      </c>
      <c r="CP52" s="19">
        <v>204</v>
      </c>
      <c r="CQ52" s="19">
        <v>8</v>
      </c>
      <c r="CR52" s="19">
        <v>9</v>
      </c>
      <c r="CS52" s="19">
        <v>3</v>
      </c>
      <c r="CT52" s="19">
        <v>59</v>
      </c>
      <c r="CU52" s="19">
        <v>43</v>
      </c>
      <c r="CV52" s="19">
        <v>72.88</v>
      </c>
      <c r="CW52" s="19">
        <f t="shared" si="5"/>
        <v>0</v>
      </c>
      <c r="CX52" s="19">
        <f t="shared" si="6"/>
        <v>6</v>
      </c>
      <c r="CY52" s="19">
        <f t="shared" si="7"/>
        <v>0</v>
      </c>
      <c r="CZ52" s="19">
        <f t="shared" si="8"/>
        <v>16</v>
      </c>
    </row>
    <row r="53" spans="1:104" ht="15.75" customHeight="1" x14ac:dyDescent="0.35">
      <c r="A53" s="15" t="s">
        <v>165</v>
      </c>
      <c r="B53" s="16">
        <v>2</v>
      </c>
      <c r="C53" s="15" t="s">
        <v>109</v>
      </c>
      <c r="D53" s="16">
        <v>6</v>
      </c>
      <c r="E53" s="15">
        <v>1</v>
      </c>
      <c r="F53" s="15" t="s">
        <v>159</v>
      </c>
      <c r="G53" s="15" t="s">
        <v>107</v>
      </c>
      <c r="H53" s="15">
        <v>2</v>
      </c>
      <c r="I53" s="15">
        <v>2</v>
      </c>
      <c r="J53" s="17"/>
      <c r="K53" s="16">
        <v>3</v>
      </c>
      <c r="L53" s="16">
        <v>0</v>
      </c>
      <c r="M53" s="16">
        <v>68</v>
      </c>
      <c r="N53" s="16">
        <v>82</v>
      </c>
      <c r="O53" s="16">
        <v>150</v>
      </c>
      <c r="P53" s="16">
        <v>21</v>
      </c>
      <c r="Q53" s="16">
        <v>13</v>
      </c>
      <c r="R53" s="16">
        <v>14</v>
      </c>
      <c r="S53" s="16">
        <v>358</v>
      </c>
      <c r="T53" s="19">
        <v>1</v>
      </c>
      <c r="U53" s="19">
        <v>2</v>
      </c>
      <c r="V53" s="19">
        <v>0</v>
      </c>
      <c r="W53" s="19">
        <v>46</v>
      </c>
      <c r="X53" s="19">
        <v>466</v>
      </c>
      <c r="Y53" s="19">
        <v>512</v>
      </c>
      <c r="Z53" s="19">
        <v>8</v>
      </c>
      <c r="AA53" s="19">
        <v>9</v>
      </c>
      <c r="AB53" s="19">
        <v>15</v>
      </c>
      <c r="AC53" s="19">
        <v>1</v>
      </c>
      <c r="AD53" s="19">
        <v>92</v>
      </c>
      <c r="AE53" s="19">
        <v>60</v>
      </c>
      <c r="AF53" s="19">
        <v>65.22</v>
      </c>
      <c r="AG53" s="20">
        <v>32866</v>
      </c>
      <c r="AH53" s="20">
        <v>-32653</v>
      </c>
      <c r="AI53" s="19">
        <v>213</v>
      </c>
      <c r="AJ53" s="19">
        <v>8</v>
      </c>
      <c r="AK53" s="19">
        <v>9</v>
      </c>
      <c r="AL53" s="19">
        <v>3</v>
      </c>
      <c r="AM53" s="19">
        <v>51</v>
      </c>
      <c r="AN53" s="19">
        <v>47</v>
      </c>
      <c r="AO53" s="19">
        <v>92.16</v>
      </c>
      <c r="AP53" s="16">
        <v>19</v>
      </c>
      <c r="AQ53" s="16">
        <v>2</v>
      </c>
      <c r="AR53" s="16">
        <v>22</v>
      </c>
      <c r="AS53" s="16"/>
      <c r="AT53" s="16">
        <v>31</v>
      </c>
      <c r="AU53" s="16"/>
      <c r="AV53" s="16">
        <v>27</v>
      </c>
      <c r="AW53" s="16">
        <v>2</v>
      </c>
      <c r="AX53" s="16">
        <v>28</v>
      </c>
      <c r="AY53" s="16"/>
      <c r="AZ53" s="16">
        <v>26</v>
      </c>
      <c r="BA53" s="16">
        <v>2</v>
      </c>
      <c r="BB53" s="16">
        <v>37</v>
      </c>
      <c r="BC53" s="16"/>
      <c r="BD53" s="16">
        <v>36</v>
      </c>
      <c r="BE53" s="16"/>
      <c r="BF53" s="16">
        <v>12</v>
      </c>
      <c r="BG53" s="16">
        <v>10</v>
      </c>
      <c r="BH53" s="16">
        <v>22</v>
      </c>
      <c r="BI53" s="16">
        <v>16</v>
      </c>
      <c r="BJ53" s="16">
        <v>12</v>
      </c>
      <c r="BK53" s="16">
        <v>28</v>
      </c>
      <c r="BL53" s="16">
        <v>8</v>
      </c>
      <c r="BM53" s="16">
        <v>16</v>
      </c>
      <c r="BN53" s="16">
        <v>16</v>
      </c>
      <c r="BO53" s="16">
        <v>12</v>
      </c>
      <c r="BP53" s="16">
        <v>10</v>
      </c>
      <c r="BQ53" s="16">
        <v>62</v>
      </c>
      <c r="BR53" s="16">
        <v>4</v>
      </c>
      <c r="BS53" s="16">
        <v>0</v>
      </c>
      <c r="BT53" s="16">
        <v>27</v>
      </c>
      <c r="BU53" s="16">
        <v>167</v>
      </c>
      <c r="BV53" s="16">
        <v>194</v>
      </c>
      <c r="BW53" s="16">
        <v>27</v>
      </c>
      <c r="BX53" s="16">
        <v>4</v>
      </c>
      <c r="BY53" s="16">
        <v>14</v>
      </c>
      <c r="BZ53" s="16">
        <v>305</v>
      </c>
      <c r="CA53" s="40">
        <v>1</v>
      </c>
      <c r="CB53" s="40">
        <v>2</v>
      </c>
      <c r="CC53" s="40">
        <v>0</v>
      </c>
      <c r="CD53" s="40">
        <v>38</v>
      </c>
      <c r="CE53" s="40">
        <v>152</v>
      </c>
      <c r="CF53" s="40">
        <v>190</v>
      </c>
      <c r="CG53" s="40">
        <v>8</v>
      </c>
      <c r="CH53" s="40">
        <v>9</v>
      </c>
      <c r="CI53" s="40">
        <v>15</v>
      </c>
      <c r="CJ53" s="40">
        <v>1</v>
      </c>
      <c r="CK53" s="40">
        <v>67</v>
      </c>
      <c r="CL53" s="40">
        <v>61</v>
      </c>
      <c r="CM53" s="40">
        <v>91.04</v>
      </c>
      <c r="CN53" s="40">
        <v>0</v>
      </c>
      <c r="CO53" s="40">
        <v>0</v>
      </c>
      <c r="CP53" s="40">
        <v>0</v>
      </c>
      <c r="CQ53" s="40">
        <v>2</v>
      </c>
      <c r="CR53" s="40">
        <v>0</v>
      </c>
      <c r="CS53" s="40">
        <v>2</v>
      </c>
      <c r="CT53" s="40">
        <v>0</v>
      </c>
      <c r="CU53" s="40">
        <v>0</v>
      </c>
      <c r="CV53" s="40">
        <v>95</v>
      </c>
      <c r="CW53" s="19">
        <f t="shared" si="5"/>
        <v>32</v>
      </c>
      <c r="CX53" s="19">
        <f t="shared" si="6"/>
        <v>6</v>
      </c>
      <c r="CY53" s="19">
        <f t="shared" si="7"/>
        <v>4</v>
      </c>
      <c r="CZ53" s="19">
        <f t="shared" si="8"/>
        <v>0</v>
      </c>
    </row>
    <row r="54" spans="1:104" ht="15.75" customHeight="1" x14ac:dyDescent="0.35">
      <c r="A54" s="44" t="s">
        <v>166</v>
      </c>
      <c r="B54" s="16">
        <v>2</v>
      </c>
      <c r="C54" s="15" t="s">
        <v>109</v>
      </c>
      <c r="D54" s="16">
        <v>6</v>
      </c>
      <c r="E54" s="15">
        <v>1</v>
      </c>
      <c r="F54" s="15" t="s">
        <v>159</v>
      </c>
      <c r="G54" s="15" t="s">
        <v>107</v>
      </c>
      <c r="H54" s="15">
        <v>2</v>
      </c>
      <c r="I54" s="15">
        <v>2</v>
      </c>
      <c r="J54" s="17"/>
      <c r="K54" s="16">
        <v>4</v>
      </c>
      <c r="L54" s="16">
        <v>0</v>
      </c>
      <c r="M54" s="16">
        <v>31</v>
      </c>
      <c r="N54" s="16">
        <v>139</v>
      </c>
      <c r="O54" s="16">
        <v>170</v>
      </c>
      <c r="P54" s="16">
        <v>17</v>
      </c>
      <c r="Q54" s="16">
        <v>12</v>
      </c>
      <c r="R54" s="16">
        <v>16</v>
      </c>
      <c r="S54" s="16">
        <v>323</v>
      </c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16">
        <v>14</v>
      </c>
      <c r="AQ54" s="16">
        <v>5</v>
      </c>
      <c r="AR54" s="16">
        <v>21</v>
      </c>
      <c r="AS54" s="16">
        <v>1</v>
      </c>
      <c r="AT54" s="16">
        <v>36</v>
      </c>
      <c r="AU54" s="16">
        <v>1</v>
      </c>
      <c r="AV54" s="16">
        <v>26</v>
      </c>
      <c r="AW54" s="16">
        <v>3</v>
      </c>
      <c r="AX54" s="16">
        <v>38</v>
      </c>
      <c r="AY54" s="16"/>
      <c r="AZ54" s="16">
        <v>43</v>
      </c>
      <c r="BA54" s="16">
        <v>1</v>
      </c>
      <c r="BB54" s="16">
        <v>39</v>
      </c>
      <c r="BC54" s="16"/>
      <c r="BD54" s="16">
        <v>41</v>
      </c>
      <c r="BE54" s="16"/>
      <c r="BF54" s="16">
        <v>8</v>
      </c>
      <c r="BG54" s="16">
        <v>8</v>
      </c>
      <c r="BH54" s="16">
        <v>16</v>
      </c>
      <c r="BI54" s="16">
        <v>8</v>
      </c>
      <c r="BJ54" s="16">
        <v>8</v>
      </c>
      <c r="BK54" s="16">
        <v>16</v>
      </c>
      <c r="BL54" s="16">
        <v>4</v>
      </c>
      <c r="BM54" s="16">
        <v>8</v>
      </c>
      <c r="BN54" s="16">
        <v>8</v>
      </c>
      <c r="BO54" s="16">
        <v>6</v>
      </c>
      <c r="BP54" s="16">
        <v>5</v>
      </c>
      <c r="BQ54" s="16">
        <v>31</v>
      </c>
      <c r="BR54" s="16">
        <v>5</v>
      </c>
      <c r="BS54" s="16">
        <v>3</v>
      </c>
      <c r="BT54" s="16">
        <v>89</v>
      </c>
      <c r="BU54" s="16">
        <v>122</v>
      </c>
      <c r="BV54" s="16">
        <v>211</v>
      </c>
      <c r="BW54" s="16">
        <v>27</v>
      </c>
      <c r="BX54" s="16">
        <v>0</v>
      </c>
      <c r="BY54" s="16">
        <v>25</v>
      </c>
      <c r="BZ54" s="16">
        <v>456</v>
      </c>
      <c r="CA54" s="19">
        <v>2</v>
      </c>
      <c r="CB54" s="19">
        <v>3</v>
      </c>
      <c r="CC54" s="19">
        <v>2</v>
      </c>
      <c r="CD54" s="19">
        <v>55</v>
      </c>
      <c r="CE54" s="19">
        <v>167</v>
      </c>
      <c r="CF54" s="19">
        <v>222</v>
      </c>
      <c r="CG54" s="19">
        <v>8</v>
      </c>
      <c r="CH54" s="19">
        <v>8</v>
      </c>
      <c r="CI54" s="19">
        <v>16</v>
      </c>
      <c r="CJ54" s="19">
        <v>0</v>
      </c>
      <c r="CK54" s="19">
        <v>61</v>
      </c>
      <c r="CL54" s="19">
        <v>61</v>
      </c>
      <c r="CM54" s="19">
        <v>100</v>
      </c>
      <c r="CN54" s="19">
        <v>10</v>
      </c>
      <c r="CO54" s="19">
        <v>59</v>
      </c>
      <c r="CP54" s="19">
        <v>69</v>
      </c>
      <c r="CQ54" s="19">
        <v>5</v>
      </c>
      <c r="CR54" s="19">
        <v>6</v>
      </c>
      <c r="CS54" s="19">
        <v>2</v>
      </c>
      <c r="CT54" s="19">
        <v>28</v>
      </c>
      <c r="CU54" s="19">
        <v>28</v>
      </c>
      <c r="CV54" s="19">
        <v>100</v>
      </c>
      <c r="CW54" s="19">
        <f t="shared" si="5"/>
        <v>0</v>
      </c>
      <c r="CX54" s="19">
        <f t="shared" si="6"/>
        <v>0</v>
      </c>
      <c r="CY54" s="19">
        <f t="shared" si="7"/>
        <v>0</v>
      </c>
      <c r="CZ54" s="19">
        <f t="shared" si="8"/>
        <v>0</v>
      </c>
    </row>
    <row r="55" spans="1:104" ht="15.75" customHeight="1" x14ac:dyDescent="0.35">
      <c r="A55" s="15" t="s">
        <v>167</v>
      </c>
      <c r="B55" s="16">
        <v>2</v>
      </c>
      <c r="C55" s="15" t="s">
        <v>105</v>
      </c>
      <c r="D55" s="16">
        <v>6</v>
      </c>
      <c r="E55" s="15">
        <v>1</v>
      </c>
      <c r="F55" s="15" t="s">
        <v>159</v>
      </c>
      <c r="G55" s="15" t="s">
        <v>143</v>
      </c>
      <c r="H55" s="15">
        <v>2</v>
      </c>
      <c r="I55" s="15">
        <v>2</v>
      </c>
      <c r="J55" s="17"/>
      <c r="K55" s="16">
        <v>3</v>
      </c>
      <c r="L55" s="16">
        <v>4</v>
      </c>
      <c r="M55" s="16">
        <v>139</v>
      </c>
      <c r="N55" s="16">
        <v>114</v>
      </c>
      <c r="O55" s="16">
        <v>253</v>
      </c>
      <c r="P55" s="16">
        <v>29</v>
      </c>
      <c r="Q55" s="16">
        <v>2</v>
      </c>
      <c r="R55" s="16">
        <v>20</v>
      </c>
      <c r="S55" s="16">
        <v>477</v>
      </c>
      <c r="T55" s="19">
        <v>4</v>
      </c>
      <c r="U55" s="19">
        <v>5</v>
      </c>
      <c r="V55" s="19">
        <v>2</v>
      </c>
      <c r="W55" s="19">
        <v>65</v>
      </c>
      <c r="X55" s="19">
        <v>291</v>
      </c>
      <c r="Y55" s="19">
        <v>356</v>
      </c>
      <c r="Z55" s="19">
        <v>8</v>
      </c>
      <c r="AA55" s="19">
        <v>8</v>
      </c>
      <c r="AB55" s="19">
        <v>16</v>
      </c>
      <c r="AC55" s="19">
        <v>0</v>
      </c>
      <c r="AD55" s="19">
        <v>89</v>
      </c>
      <c r="AE55" s="19">
        <v>61</v>
      </c>
      <c r="AF55" s="19">
        <v>68.540000000000006</v>
      </c>
      <c r="AG55" s="19">
        <v>5</v>
      </c>
      <c r="AH55" s="19">
        <v>20</v>
      </c>
      <c r="AI55" s="19">
        <v>25</v>
      </c>
      <c r="AJ55" s="19">
        <v>3</v>
      </c>
      <c r="AK55" s="19">
        <v>2</v>
      </c>
      <c r="AL55" s="19">
        <v>2</v>
      </c>
      <c r="AM55" s="19">
        <v>10</v>
      </c>
      <c r="AN55" s="19">
        <v>8</v>
      </c>
      <c r="AO55" s="19">
        <v>80</v>
      </c>
      <c r="AP55" s="16">
        <v>18</v>
      </c>
      <c r="AQ55" s="16">
        <v>5</v>
      </c>
      <c r="AR55" s="16">
        <v>21</v>
      </c>
      <c r="AS55" s="16">
        <v>1</v>
      </c>
      <c r="AT55" s="16">
        <v>38</v>
      </c>
      <c r="AU55" s="16"/>
      <c r="AV55" s="16">
        <v>29</v>
      </c>
      <c r="AW55" s="16"/>
      <c r="AX55" s="16">
        <v>37</v>
      </c>
      <c r="AY55" s="16"/>
      <c r="AZ55" s="16">
        <v>47</v>
      </c>
      <c r="BA55" s="16">
        <v>1</v>
      </c>
      <c r="BB55" s="16">
        <v>51</v>
      </c>
      <c r="BC55" s="16"/>
      <c r="BD55" s="16">
        <v>34</v>
      </c>
      <c r="BE55" s="16"/>
      <c r="BF55" s="16">
        <v>9</v>
      </c>
      <c r="BG55" s="16">
        <v>6</v>
      </c>
      <c r="BH55" s="16">
        <v>15</v>
      </c>
      <c r="BI55" s="16">
        <v>9</v>
      </c>
      <c r="BJ55" s="16">
        <v>8</v>
      </c>
      <c r="BK55" s="16">
        <v>17</v>
      </c>
      <c r="BL55" s="16">
        <v>4</v>
      </c>
      <c r="BM55" s="16">
        <v>8</v>
      </c>
      <c r="BN55" s="16">
        <v>8</v>
      </c>
      <c r="BO55" s="16">
        <v>6</v>
      </c>
      <c r="BP55" s="16">
        <v>5</v>
      </c>
      <c r="BQ55" s="16">
        <v>31</v>
      </c>
      <c r="BR55" s="16">
        <v>3</v>
      </c>
      <c r="BS55" s="16">
        <v>3</v>
      </c>
      <c r="BT55" s="16">
        <v>179</v>
      </c>
      <c r="BU55" s="16">
        <v>157</v>
      </c>
      <c r="BV55" s="16">
        <v>336</v>
      </c>
      <c r="BW55" s="16">
        <v>31</v>
      </c>
      <c r="BX55" s="16">
        <v>0</v>
      </c>
      <c r="BY55" s="16">
        <v>26</v>
      </c>
      <c r="BZ55" s="16">
        <v>328</v>
      </c>
      <c r="CA55" s="19">
        <v>4</v>
      </c>
      <c r="CB55" s="19">
        <v>5</v>
      </c>
      <c r="CC55" s="19">
        <v>2</v>
      </c>
      <c r="CD55" s="19">
        <v>74</v>
      </c>
      <c r="CE55" s="19">
        <v>214</v>
      </c>
      <c r="CF55" s="19">
        <v>288</v>
      </c>
      <c r="CG55" s="19">
        <v>8</v>
      </c>
      <c r="CH55" s="19">
        <v>9</v>
      </c>
      <c r="CI55" s="19">
        <v>15</v>
      </c>
      <c r="CJ55" s="19">
        <v>1</v>
      </c>
      <c r="CK55" s="19">
        <v>60</v>
      </c>
      <c r="CL55" s="19">
        <v>58</v>
      </c>
      <c r="CM55" s="19">
        <v>96.67</v>
      </c>
      <c r="CN55" s="19">
        <v>15</v>
      </c>
      <c r="CO55" s="19">
        <v>145</v>
      </c>
      <c r="CP55" s="19">
        <v>160</v>
      </c>
      <c r="CQ55" s="19">
        <v>6</v>
      </c>
      <c r="CR55" s="19">
        <v>5</v>
      </c>
      <c r="CS55" s="19">
        <v>3</v>
      </c>
      <c r="CT55" s="19">
        <v>30</v>
      </c>
      <c r="CU55" s="19">
        <v>26</v>
      </c>
      <c r="CV55" s="19">
        <v>86.67</v>
      </c>
      <c r="CW55" s="19">
        <f t="shared" si="5"/>
        <v>28</v>
      </c>
      <c r="CX55" s="19">
        <f t="shared" si="6"/>
        <v>2</v>
      </c>
      <c r="CY55" s="19">
        <f t="shared" si="7"/>
        <v>2</v>
      </c>
      <c r="CZ55" s="19">
        <f t="shared" si="8"/>
        <v>4</v>
      </c>
    </row>
    <row r="56" spans="1:104" ht="15.75" customHeight="1" x14ac:dyDescent="0.35">
      <c r="A56" s="15" t="s">
        <v>168</v>
      </c>
      <c r="B56" s="16">
        <v>2</v>
      </c>
      <c r="C56" s="15" t="s">
        <v>109</v>
      </c>
      <c r="D56" s="16">
        <v>6</v>
      </c>
      <c r="E56" s="15">
        <v>1</v>
      </c>
      <c r="F56" s="15" t="s">
        <v>159</v>
      </c>
      <c r="G56" s="15" t="s">
        <v>107</v>
      </c>
      <c r="H56" s="15">
        <v>2</v>
      </c>
      <c r="I56" s="15">
        <v>2</v>
      </c>
      <c r="J56" s="17"/>
      <c r="K56" s="16">
        <v>3</v>
      </c>
      <c r="L56" s="16">
        <v>0</v>
      </c>
      <c r="M56" s="16">
        <v>142</v>
      </c>
      <c r="N56" s="16">
        <v>115</v>
      </c>
      <c r="O56" s="16">
        <v>257</v>
      </c>
      <c r="P56" s="16">
        <v>24</v>
      </c>
      <c r="Q56" s="16">
        <v>2</v>
      </c>
      <c r="R56" s="16">
        <v>19</v>
      </c>
      <c r="S56" s="16">
        <v>343</v>
      </c>
      <c r="T56" s="19">
        <v>1</v>
      </c>
      <c r="U56" s="19">
        <v>2</v>
      </c>
      <c r="V56" s="19">
        <v>0</v>
      </c>
      <c r="W56" s="19">
        <v>39</v>
      </c>
      <c r="X56" s="19">
        <v>180</v>
      </c>
      <c r="Y56" s="19">
        <v>219</v>
      </c>
      <c r="Z56" s="19">
        <v>8</v>
      </c>
      <c r="AA56" s="19">
        <v>8</v>
      </c>
      <c r="AB56" s="19">
        <v>16</v>
      </c>
      <c r="AC56" s="19">
        <v>0</v>
      </c>
      <c r="AD56" s="19">
        <v>63</v>
      </c>
      <c r="AE56" s="19">
        <v>61</v>
      </c>
      <c r="AF56" s="19">
        <v>96.83</v>
      </c>
      <c r="AG56" s="19">
        <v>13</v>
      </c>
      <c r="AH56" s="19">
        <v>52</v>
      </c>
      <c r="AI56" s="19">
        <v>65</v>
      </c>
      <c r="AJ56" s="19">
        <v>4</v>
      </c>
      <c r="AK56" s="19">
        <v>4</v>
      </c>
      <c r="AL56" s="19">
        <v>2</v>
      </c>
      <c r="AM56" s="19">
        <v>26</v>
      </c>
      <c r="AN56" s="19">
        <v>18</v>
      </c>
      <c r="AO56" s="19">
        <v>69.23</v>
      </c>
      <c r="AP56" s="16">
        <v>21</v>
      </c>
      <c r="AQ56" s="16">
        <v>3</v>
      </c>
      <c r="AR56" s="16">
        <v>29</v>
      </c>
      <c r="AS56" s="16">
        <v>2</v>
      </c>
      <c r="AT56" s="16">
        <v>38</v>
      </c>
      <c r="AU56" s="16"/>
      <c r="AV56" s="16">
        <v>29</v>
      </c>
      <c r="AW56" s="16">
        <v>2</v>
      </c>
      <c r="AX56" s="16">
        <v>38</v>
      </c>
      <c r="AY56" s="16">
        <v>2</v>
      </c>
      <c r="AZ56" s="16">
        <v>37</v>
      </c>
      <c r="BA56" s="16"/>
      <c r="BB56" s="16">
        <v>51</v>
      </c>
      <c r="BC56" s="16"/>
      <c r="BD56" s="16">
        <v>38</v>
      </c>
      <c r="BE56" s="16"/>
      <c r="BF56" s="16">
        <v>16</v>
      </c>
      <c r="BG56" s="16">
        <v>10</v>
      </c>
      <c r="BH56" s="16">
        <v>26</v>
      </c>
      <c r="BI56" s="16">
        <v>10</v>
      </c>
      <c r="BJ56" s="16">
        <v>16</v>
      </c>
      <c r="BK56" s="16">
        <v>26</v>
      </c>
      <c r="BL56" s="16">
        <v>5</v>
      </c>
      <c r="BM56" s="16">
        <v>8</v>
      </c>
      <c r="BN56" s="16">
        <v>12</v>
      </c>
      <c r="BO56" s="16">
        <v>8</v>
      </c>
      <c r="BP56" s="16">
        <v>6</v>
      </c>
      <c r="BQ56" s="16">
        <v>39</v>
      </c>
      <c r="BR56" s="16">
        <v>4</v>
      </c>
      <c r="BS56" s="16">
        <v>4</v>
      </c>
      <c r="BT56" s="16">
        <v>71</v>
      </c>
      <c r="BU56" s="16">
        <v>150</v>
      </c>
      <c r="BV56" s="16">
        <v>221</v>
      </c>
      <c r="BW56" s="16">
        <v>30</v>
      </c>
      <c r="BX56" s="16">
        <v>1</v>
      </c>
      <c r="BY56" s="16">
        <v>27</v>
      </c>
      <c r="BZ56" s="16">
        <v>340</v>
      </c>
      <c r="CA56" s="19">
        <v>3</v>
      </c>
      <c r="CB56" s="19">
        <v>5</v>
      </c>
      <c r="CC56" s="19">
        <v>3</v>
      </c>
      <c r="CD56" s="19">
        <v>28</v>
      </c>
      <c r="CE56" s="19">
        <v>134</v>
      </c>
      <c r="CF56" s="19">
        <v>162</v>
      </c>
      <c r="CG56" s="19">
        <v>8</v>
      </c>
      <c r="CH56" s="19">
        <v>8</v>
      </c>
      <c r="CI56" s="19">
        <v>16</v>
      </c>
      <c r="CJ56" s="19">
        <v>0</v>
      </c>
      <c r="CK56" s="19">
        <v>61</v>
      </c>
      <c r="CL56" s="19">
        <v>61</v>
      </c>
      <c r="CM56" s="19">
        <v>100</v>
      </c>
      <c r="CN56" s="19">
        <v>40</v>
      </c>
      <c r="CO56" s="19">
        <v>39</v>
      </c>
      <c r="CP56" s="19">
        <v>79</v>
      </c>
      <c r="CQ56" s="19">
        <v>5</v>
      </c>
      <c r="CR56" s="19">
        <v>6</v>
      </c>
      <c r="CS56" s="19">
        <v>2</v>
      </c>
      <c r="CT56" s="19">
        <v>30</v>
      </c>
      <c r="CU56" s="19">
        <v>28</v>
      </c>
      <c r="CV56" s="19">
        <v>93.33</v>
      </c>
      <c r="CW56" s="19">
        <f t="shared" si="5"/>
        <v>2</v>
      </c>
      <c r="CX56" s="19">
        <f t="shared" si="6"/>
        <v>0</v>
      </c>
      <c r="CY56" s="19">
        <f t="shared" si="7"/>
        <v>8</v>
      </c>
      <c r="CZ56" s="19">
        <f t="shared" si="8"/>
        <v>2</v>
      </c>
    </row>
    <row r="57" spans="1:104" ht="15.75" customHeight="1" x14ac:dyDescent="0.35">
      <c r="A57" s="15" t="s">
        <v>169</v>
      </c>
      <c r="B57" s="16">
        <v>2</v>
      </c>
      <c r="C57" s="15" t="s">
        <v>109</v>
      </c>
      <c r="D57" s="16">
        <v>6</v>
      </c>
      <c r="E57" s="15">
        <v>1</v>
      </c>
      <c r="F57" s="15" t="s">
        <v>159</v>
      </c>
      <c r="G57" s="15" t="s">
        <v>107</v>
      </c>
      <c r="H57" s="15">
        <v>2</v>
      </c>
      <c r="I57" s="15">
        <v>2</v>
      </c>
      <c r="J57" s="17"/>
      <c r="K57" s="16">
        <v>4</v>
      </c>
      <c r="L57" s="16">
        <v>3</v>
      </c>
      <c r="M57" s="16">
        <v>111</v>
      </c>
      <c r="N57" s="16">
        <v>122</v>
      </c>
      <c r="O57" s="16">
        <v>233</v>
      </c>
      <c r="P57" s="16">
        <v>31</v>
      </c>
      <c r="Q57" s="16">
        <v>1</v>
      </c>
      <c r="R57" s="16">
        <v>17</v>
      </c>
      <c r="S57" s="16">
        <v>508</v>
      </c>
      <c r="T57" s="19">
        <v>3</v>
      </c>
      <c r="U57" s="19">
        <v>5</v>
      </c>
      <c r="V57" s="19">
        <v>3</v>
      </c>
      <c r="W57" s="19">
        <v>90</v>
      </c>
      <c r="X57" s="19">
        <v>472</v>
      </c>
      <c r="Y57" s="19">
        <v>562</v>
      </c>
      <c r="Z57" s="19">
        <v>8</v>
      </c>
      <c r="AA57" s="19">
        <v>8</v>
      </c>
      <c r="AB57" s="19">
        <v>16</v>
      </c>
      <c r="AC57" s="19">
        <v>0</v>
      </c>
      <c r="AD57" s="19">
        <v>77</v>
      </c>
      <c r="AE57" s="19">
        <v>61</v>
      </c>
      <c r="AF57" s="19">
        <v>79.22</v>
      </c>
      <c r="AG57" s="19">
        <v>122</v>
      </c>
      <c r="AH57" s="19">
        <v>28</v>
      </c>
      <c r="AI57" s="19">
        <v>150</v>
      </c>
      <c r="AJ57" s="19">
        <v>5</v>
      </c>
      <c r="AK57" s="19">
        <v>6</v>
      </c>
      <c r="AL57" s="19">
        <v>2</v>
      </c>
      <c r="AM57" s="19">
        <v>30</v>
      </c>
      <c r="AN57" s="19">
        <v>28</v>
      </c>
      <c r="AO57" s="19">
        <v>93.33</v>
      </c>
      <c r="AP57" s="16">
        <v>11</v>
      </c>
      <c r="AQ57" s="16">
        <v>4</v>
      </c>
      <c r="AR57" s="16">
        <v>10</v>
      </c>
      <c r="AS57" s="16">
        <v>2</v>
      </c>
      <c r="AT57" s="16">
        <v>34</v>
      </c>
      <c r="AU57" s="16"/>
      <c r="AV57" s="16">
        <v>22</v>
      </c>
      <c r="AW57" s="16">
        <v>2</v>
      </c>
      <c r="AX57" s="16">
        <v>34</v>
      </c>
      <c r="AY57" s="16"/>
      <c r="AZ57" s="16">
        <v>43</v>
      </c>
      <c r="BA57" s="16">
        <v>1</v>
      </c>
      <c r="BB57" s="16">
        <v>37</v>
      </c>
      <c r="BC57" s="16"/>
      <c r="BD57" s="16">
        <v>46</v>
      </c>
      <c r="BE57" s="16"/>
      <c r="BF57" s="16">
        <v>8</v>
      </c>
      <c r="BG57" s="16">
        <v>5</v>
      </c>
      <c r="BH57" s="16">
        <v>13</v>
      </c>
      <c r="BI57" s="16">
        <v>9</v>
      </c>
      <c r="BJ57" s="16">
        <v>8</v>
      </c>
      <c r="BK57" s="16">
        <v>17</v>
      </c>
      <c r="BL57" s="16">
        <v>5</v>
      </c>
      <c r="BM57" s="16">
        <v>11</v>
      </c>
      <c r="BN57" s="16">
        <v>9</v>
      </c>
      <c r="BO57" s="16">
        <v>8</v>
      </c>
      <c r="BP57" s="16">
        <v>6</v>
      </c>
      <c r="BQ57" s="16">
        <v>39</v>
      </c>
      <c r="BR57" s="16">
        <v>3</v>
      </c>
      <c r="BS57" s="16">
        <v>3</v>
      </c>
      <c r="BT57" s="16">
        <v>133</v>
      </c>
      <c r="BU57" s="16">
        <v>192</v>
      </c>
      <c r="BV57" s="16">
        <v>325</v>
      </c>
      <c r="BW57" s="16">
        <v>34</v>
      </c>
      <c r="BX57" s="16">
        <v>0</v>
      </c>
      <c r="BY57" s="16">
        <v>23</v>
      </c>
      <c r="BZ57" s="16">
        <v>440</v>
      </c>
      <c r="CA57" s="19">
        <v>0</v>
      </c>
      <c r="CB57" s="19">
        <v>2</v>
      </c>
      <c r="CC57" s="19">
        <v>0</v>
      </c>
      <c r="CD57" s="19">
        <v>63</v>
      </c>
      <c r="CE57" s="19">
        <v>191</v>
      </c>
      <c r="CF57" s="19">
        <v>254</v>
      </c>
      <c r="CG57" s="19">
        <v>8</v>
      </c>
      <c r="CH57" s="19">
        <v>8</v>
      </c>
      <c r="CI57" s="19">
        <v>16</v>
      </c>
      <c r="CJ57" s="19">
        <v>0</v>
      </c>
      <c r="CK57" s="19">
        <v>69</v>
      </c>
      <c r="CL57" s="19">
        <v>61</v>
      </c>
      <c r="CM57" s="19">
        <v>88.41</v>
      </c>
      <c r="CN57" s="19">
        <v>8</v>
      </c>
      <c r="CO57" s="19">
        <v>39</v>
      </c>
      <c r="CP57" s="19">
        <v>47</v>
      </c>
      <c r="CQ57" s="19">
        <v>3</v>
      </c>
      <c r="CR57" s="19">
        <v>2</v>
      </c>
      <c r="CS57" s="19">
        <v>2</v>
      </c>
      <c r="CT57" s="19">
        <v>8</v>
      </c>
      <c r="CU57" s="19">
        <v>8</v>
      </c>
      <c r="CV57" s="19">
        <v>100</v>
      </c>
      <c r="CW57" s="19">
        <f t="shared" si="5"/>
        <v>16</v>
      </c>
      <c r="CX57" s="19">
        <f t="shared" si="6"/>
        <v>8</v>
      </c>
      <c r="CY57" s="19">
        <f t="shared" si="7"/>
        <v>2</v>
      </c>
      <c r="CZ57" s="19">
        <f t="shared" si="8"/>
        <v>0</v>
      </c>
    </row>
    <row r="58" spans="1:104" ht="15.75" customHeight="1" x14ac:dyDescent="0.35">
      <c r="A58" s="15" t="s">
        <v>170</v>
      </c>
      <c r="B58" s="16">
        <v>2</v>
      </c>
      <c r="C58" s="15" t="s">
        <v>105</v>
      </c>
      <c r="D58" s="16">
        <v>6</v>
      </c>
      <c r="E58" s="15">
        <v>1</v>
      </c>
      <c r="F58" s="15" t="s">
        <v>159</v>
      </c>
      <c r="G58" s="15" t="s">
        <v>107</v>
      </c>
      <c r="H58" s="15">
        <v>2</v>
      </c>
      <c r="I58" s="15">
        <v>2</v>
      </c>
      <c r="J58" s="17"/>
      <c r="K58" s="16">
        <v>3</v>
      </c>
      <c r="L58" s="16">
        <v>0</v>
      </c>
      <c r="M58" s="16">
        <v>66</v>
      </c>
      <c r="N58" s="16">
        <v>126</v>
      </c>
      <c r="O58" s="16">
        <v>192</v>
      </c>
      <c r="P58" s="16">
        <v>29</v>
      </c>
      <c r="Q58" s="16">
        <v>2</v>
      </c>
      <c r="R58" s="16">
        <v>13</v>
      </c>
      <c r="S58" s="16">
        <v>505</v>
      </c>
      <c r="T58" s="19">
        <v>1</v>
      </c>
      <c r="U58" s="19">
        <v>2</v>
      </c>
      <c r="V58" s="19">
        <v>0</v>
      </c>
      <c r="W58" s="19">
        <v>58</v>
      </c>
      <c r="X58" s="19">
        <v>344</v>
      </c>
      <c r="Y58" s="19">
        <v>402</v>
      </c>
      <c r="Z58" s="19">
        <v>8</v>
      </c>
      <c r="AA58" s="19">
        <v>12</v>
      </c>
      <c r="AB58" s="19">
        <v>11</v>
      </c>
      <c r="AC58" s="19">
        <v>5</v>
      </c>
      <c r="AD58" s="19">
        <v>61</v>
      </c>
      <c r="AE58" s="19">
        <v>49</v>
      </c>
      <c r="AF58" s="19">
        <v>80.33</v>
      </c>
      <c r="AG58" s="19">
        <v>56</v>
      </c>
      <c r="AH58" s="19">
        <v>93</v>
      </c>
      <c r="AI58" s="19">
        <v>149</v>
      </c>
      <c r="AJ58" s="19">
        <v>7</v>
      </c>
      <c r="AK58" s="19">
        <v>7</v>
      </c>
      <c r="AL58" s="19">
        <v>3</v>
      </c>
      <c r="AM58" s="19">
        <v>40</v>
      </c>
      <c r="AN58" s="19">
        <v>38</v>
      </c>
      <c r="AO58" s="19">
        <v>95</v>
      </c>
      <c r="AP58" s="16">
        <v>14</v>
      </c>
      <c r="AQ58" s="16">
        <v>4</v>
      </c>
      <c r="AR58" s="16">
        <v>21</v>
      </c>
      <c r="AS58" s="16"/>
      <c r="AT58" s="16">
        <v>37</v>
      </c>
      <c r="AU58" s="16"/>
      <c r="AV58" s="16">
        <v>26</v>
      </c>
      <c r="AW58" s="16">
        <v>2</v>
      </c>
      <c r="AX58" s="16">
        <v>34</v>
      </c>
      <c r="AY58" s="16"/>
      <c r="AZ58" s="16">
        <v>37</v>
      </c>
      <c r="BA58" s="16">
        <v>2</v>
      </c>
      <c r="BB58" s="16">
        <v>38</v>
      </c>
      <c r="BC58" s="16"/>
      <c r="BD58" s="16">
        <v>31</v>
      </c>
      <c r="BE58" s="16"/>
      <c r="BF58" s="16">
        <v>17</v>
      </c>
      <c r="BG58" s="16">
        <v>14</v>
      </c>
      <c r="BH58" s="16">
        <v>31</v>
      </c>
      <c r="BI58" s="16">
        <v>16</v>
      </c>
      <c r="BJ58" s="16">
        <v>15</v>
      </c>
      <c r="BK58" s="16">
        <v>31</v>
      </c>
      <c r="BL58" s="16">
        <v>8</v>
      </c>
      <c r="BM58" s="16">
        <v>16</v>
      </c>
      <c r="BN58" s="16">
        <v>16</v>
      </c>
      <c r="BO58" s="16">
        <v>12</v>
      </c>
      <c r="BP58" s="16">
        <v>10</v>
      </c>
      <c r="BQ58" s="16">
        <v>62</v>
      </c>
      <c r="BR58" s="16">
        <v>3</v>
      </c>
      <c r="BS58" s="16">
        <v>0</v>
      </c>
      <c r="BT58" s="16">
        <v>37</v>
      </c>
      <c r="BU58" s="16">
        <v>132</v>
      </c>
      <c r="BV58" s="16">
        <v>169</v>
      </c>
      <c r="BW58" s="16">
        <v>28</v>
      </c>
      <c r="BX58" s="16">
        <v>1</v>
      </c>
      <c r="BY58" s="16">
        <v>19</v>
      </c>
      <c r="BZ58" s="16">
        <v>321</v>
      </c>
      <c r="CA58" s="40">
        <v>4</v>
      </c>
      <c r="CB58" s="40">
        <v>6</v>
      </c>
      <c r="CC58" s="40">
        <v>1</v>
      </c>
      <c r="CD58" s="40">
        <v>82</v>
      </c>
      <c r="CE58" s="40">
        <v>253</v>
      </c>
      <c r="CF58" s="40">
        <v>335</v>
      </c>
      <c r="CG58" s="40">
        <v>8</v>
      </c>
      <c r="CH58" s="40">
        <v>9</v>
      </c>
      <c r="CI58" s="40">
        <v>15</v>
      </c>
      <c r="CJ58" s="40">
        <v>1</v>
      </c>
      <c r="CK58" s="40">
        <v>90</v>
      </c>
      <c r="CL58" s="40">
        <v>62</v>
      </c>
      <c r="CM58" s="40">
        <v>68.89</v>
      </c>
      <c r="CN58" s="40">
        <v>34</v>
      </c>
      <c r="CO58" s="40">
        <v>98</v>
      </c>
      <c r="CP58" s="40">
        <v>132</v>
      </c>
      <c r="CQ58" s="40">
        <v>7</v>
      </c>
      <c r="CR58" s="40">
        <v>7</v>
      </c>
      <c r="CS58" s="40">
        <v>3</v>
      </c>
      <c r="CT58" s="40">
        <v>40</v>
      </c>
      <c r="CU58" s="40">
        <v>38</v>
      </c>
      <c r="CV58" s="40">
        <v>95</v>
      </c>
      <c r="CW58" s="19">
        <f t="shared" si="5"/>
        <v>12</v>
      </c>
      <c r="CX58" s="19">
        <f t="shared" si="6"/>
        <v>28</v>
      </c>
      <c r="CY58" s="19">
        <f t="shared" si="7"/>
        <v>2</v>
      </c>
      <c r="CZ58" s="19">
        <f t="shared" si="8"/>
        <v>2</v>
      </c>
    </row>
    <row r="59" spans="1:104" ht="15.75" customHeight="1" x14ac:dyDescent="0.35">
      <c r="A59" s="15" t="s">
        <v>171</v>
      </c>
      <c r="B59" s="16">
        <v>2</v>
      </c>
      <c r="C59" s="15" t="s">
        <v>105</v>
      </c>
      <c r="D59" s="16">
        <v>6</v>
      </c>
      <c r="E59" s="15">
        <v>1</v>
      </c>
      <c r="F59" s="15" t="s">
        <v>159</v>
      </c>
      <c r="G59" s="15" t="s">
        <v>107</v>
      </c>
      <c r="H59" s="15">
        <v>2</v>
      </c>
      <c r="I59" s="15">
        <v>2</v>
      </c>
      <c r="J59" s="17"/>
      <c r="K59" s="16">
        <v>4</v>
      </c>
      <c r="L59" s="16">
        <v>0</v>
      </c>
      <c r="M59" s="16">
        <v>85</v>
      </c>
      <c r="N59" s="16">
        <v>188</v>
      </c>
      <c r="O59" s="16">
        <v>273</v>
      </c>
      <c r="P59" s="16">
        <v>24</v>
      </c>
      <c r="Q59" s="16">
        <v>3</v>
      </c>
      <c r="R59" s="16">
        <v>16</v>
      </c>
      <c r="S59" s="16">
        <v>338</v>
      </c>
      <c r="T59" s="19">
        <v>2</v>
      </c>
      <c r="U59" s="19">
        <v>3</v>
      </c>
      <c r="V59" s="19">
        <v>0</v>
      </c>
      <c r="W59" s="19">
        <v>156</v>
      </c>
      <c r="X59" s="19">
        <v>405</v>
      </c>
      <c r="Y59" s="19">
        <v>561</v>
      </c>
      <c r="Z59" s="19">
        <v>8</v>
      </c>
      <c r="AA59" s="19">
        <v>9</v>
      </c>
      <c r="AB59" s="19">
        <v>15</v>
      </c>
      <c r="AC59" s="19">
        <v>1</v>
      </c>
      <c r="AD59" s="19">
        <v>83</v>
      </c>
      <c r="AE59" s="19">
        <v>63</v>
      </c>
      <c r="AF59" s="19">
        <v>75.900000000000006</v>
      </c>
      <c r="AG59" s="19">
        <v>5</v>
      </c>
      <c r="AH59" s="19">
        <v>20</v>
      </c>
      <c r="AI59" s="19">
        <v>25</v>
      </c>
      <c r="AJ59" s="19">
        <v>3</v>
      </c>
      <c r="AK59" s="19">
        <v>2</v>
      </c>
      <c r="AL59" s="19">
        <v>2</v>
      </c>
      <c r="AM59" s="19">
        <v>10</v>
      </c>
      <c r="AN59" s="19">
        <v>30</v>
      </c>
      <c r="AO59" s="19">
        <v>300</v>
      </c>
      <c r="AP59" s="16">
        <v>14</v>
      </c>
      <c r="AQ59" s="16">
        <v>4</v>
      </c>
      <c r="AR59" s="16">
        <v>17</v>
      </c>
      <c r="AS59" s="16"/>
      <c r="AT59" s="16">
        <v>42</v>
      </c>
      <c r="AU59" s="16"/>
      <c r="AV59" s="16">
        <v>27</v>
      </c>
      <c r="AW59" s="16">
        <v>1</v>
      </c>
      <c r="AX59" s="16">
        <v>35</v>
      </c>
      <c r="AY59" s="16">
        <v>1</v>
      </c>
      <c r="AZ59" s="16">
        <v>44</v>
      </c>
      <c r="BA59" s="16">
        <v>1</v>
      </c>
      <c r="BB59" s="16">
        <v>38</v>
      </c>
      <c r="BC59" s="16"/>
      <c r="BD59" s="16">
        <v>34</v>
      </c>
      <c r="BE59" s="16"/>
      <c r="BF59" s="16">
        <v>12</v>
      </c>
      <c r="BG59" s="16">
        <v>9</v>
      </c>
      <c r="BH59" s="16">
        <v>21</v>
      </c>
      <c r="BI59" s="16">
        <v>16</v>
      </c>
      <c r="BJ59" s="16">
        <v>11</v>
      </c>
      <c r="BK59" s="16">
        <v>27</v>
      </c>
      <c r="BL59" s="16">
        <v>15</v>
      </c>
      <c r="BM59" s="16">
        <v>15</v>
      </c>
      <c r="BN59" s="16">
        <v>16</v>
      </c>
      <c r="BO59" s="16">
        <v>12</v>
      </c>
      <c r="BP59" s="16">
        <v>7</v>
      </c>
      <c r="BQ59" s="16">
        <v>65</v>
      </c>
      <c r="BR59" s="16">
        <v>4</v>
      </c>
      <c r="BS59" s="16">
        <v>3</v>
      </c>
      <c r="BT59" s="16">
        <v>50</v>
      </c>
      <c r="BU59" s="16">
        <v>292</v>
      </c>
      <c r="BV59" s="16">
        <v>342</v>
      </c>
      <c r="BW59" s="16">
        <v>28</v>
      </c>
      <c r="BX59" s="16">
        <v>0</v>
      </c>
      <c r="BY59" s="16">
        <v>19</v>
      </c>
      <c r="BZ59" s="16">
        <v>321</v>
      </c>
      <c r="CA59" s="19">
        <v>2</v>
      </c>
      <c r="CB59" s="19">
        <v>3</v>
      </c>
      <c r="CC59" s="19">
        <v>2</v>
      </c>
      <c r="CD59" s="19">
        <v>156</v>
      </c>
      <c r="CE59" s="19">
        <v>293</v>
      </c>
      <c r="CF59" s="19">
        <v>449</v>
      </c>
      <c r="CG59" s="19">
        <v>8</v>
      </c>
      <c r="CH59" s="19">
        <v>9</v>
      </c>
      <c r="CI59" s="19">
        <v>15</v>
      </c>
      <c r="CJ59" s="19">
        <v>1</v>
      </c>
      <c r="CK59" s="19">
        <v>109</v>
      </c>
      <c r="CL59" s="19">
        <v>63</v>
      </c>
      <c r="CM59" s="19">
        <v>57.8</v>
      </c>
      <c r="CN59" s="19">
        <v>10</v>
      </c>
      <c r="CO59" s="19">
        <v>29</v>
      </c>
      <c r="CP59" s="19">
        <v>39</v>
      </c>
      <c r="CQ59" s="19">
        <v>3</v>
      </c>
      <c r="CR59" s="19">
        <v>2</v>
      </c>
      <c r="CS59" s="19">
        <v>2</v>
      </c>
      <c r="CT59" s="19">
        <v>8</v>
      </c>
      <c r="CU59" s="19">
        <v>8</v>
      </c>
      <c r="CV59" s="19">
        <v>100</v>
      </c>
      <c r="CW59" s="19">
        <f t="shared" si="5"/>
        <v>20</v>
      </c>
      <c r="CX59" s="52">
        <f t="shared" si="6"/>
        <v>46</v>
      </c>
      <c r="CY59" s="37">
        <f t="shared" si="7"/>
        <v>-20</v>
      </c>
      <c r="CZ59" s="19">
        <f t="shared" si="8"/>
        <v>0</v>
      </c>
    </row>
    <row r="60" spans="1:104" ht="15.75" customHeight="1" x14ac:dyDescent="0.35">
      <c r="A60" s="15" t="s">
        <v>172</v>
      </c>
      <c r="B60" s="16">
        <v>2</v>
      </c>
      <c r="C60" s="15" t="s">
        <v>105</v>
      </c>
      <c r="D60" s="16">
        <v>6</v>
      </c>
      <c r="E60" s="15">
        <v>1</v>
      </c>
      <c r="F60" s="15" t="s">
        <v>159</v>
      </c>
      <c r="G60" s="15" t="s">
        <v>107</v>
      </c>
      <c r="H60" s="15">
        <v>2</v>
      </c>
      <c r="I60" s="15">
        <v>2</v>
      </c>
      <c r="J60" s="17"/>
      <c r="K60" s="16">
        <v>3</v>
      </c>
      <c r="L60" s="16">
        <v>3</v>
      </c>
      <c r="M60" s="16">
        <v>57</v>
      </c>
      <c r="N60" s="16">
        <v>88</v>
      </c>
      <c r="O60" s="16">
        <v>145</v>
      </c>
      <c r="P60" s="16">
        <v>24</v>
      </c>
      <c r="Q60" s="16">
        <v>4</v>
      </c>
      <c r="R60" s="16">
        <v>19</v>
      </c>
      <c r="S60" s="16">
        <v>432</v>
      </c>
      <c r="T60" s="19">
        <v>2</v>
      </c>
      <c r="U60" s="19">
        <v>3</v>
      </c>
      <c r="V60" s="19">
        <v>0</v>
      </c>
      <c r="W60" s="19">
        <v>59</v>
      </c>
      <c r="X60" s="19">
        <v>158</v>
      </c>
      <c r="Y60" s="19">
        <v>217</v>
      </c>
      <c r="Z60" s="19">
        <v>8</v>
      </c>
      <c r="AA60" s="19">
        <v>8</v>
      </c>
      <c r="AB60" s="19">
        <v>16</v>
      </c>
      <c r="AC60" s="19">
        <v>0</v>
      </c>
      <c r="AD60" s="19">
        <v>69</v>
      </c>
      <c r="AE60" s="19">
        <v>61</v>
      </c>
      <c r="AF60" s="19">
        <v>88.41</v>
      </c>
      <c r="AG60" s="19">
        <v>18</v>
      </c>
      <c r="AH60" s="19">
        <v>76</v>
      </c>
      <c r="AI60" s="19">
        <v>94</v>
      </c>
      <c r="AJ60" s="19">
        <v>6</v>
      </c>
      <c r="AK60" s="19">
        <v>5</v>
      </c>
      <c r="AL60" s="19">
        <v>3</v>
      </c>
      <c r="AM60" s="19">
        <v>28</v>
      </c>
      <c r="AN60" s="19">
        <v>28</v>
      </c>
      <c r="AO60" s="19">
        <v>100</v>
      </c>
      <c r="AP60" s="16">
        <v>18</v>
      </c>
      <c r="AQ60" s="16">
        <v>3</v>
      </c>
      <c r="AR60" s="16">
        <v>27</v>
      </c>
      <c r="AS60" s="16">
        <v>1</v>
      </c>
      <c r="AT60" s="16">
        <v>26</v>
      </c>
      <c r="AU60" s="16"/>
      <c r="AV60" s="16">
        <v>25</v>
      </c>
      <c r="AW60" s="16">
        <v>1</v>
      </c>
      <c r="AX60" s="16">
        <v>33</v>
      </c>
      <c r="AY60" s="16"/>
      <c r="AZ60" s="16">
        <v>43</v>
      </c>
      <c r="BA60" s="16"/>
      <c r="BB60" s="16">
        <v>41</v>
      </c>
      <c r="BC60" s="16"/>
      <c r="BD60" s="16">
        <v>40</v>
      </c>
      <c r="BE60" s="16"/>
      <c r="BF60" s="16">
        <v>12</v>
      </c>
      <c r="BG60" s="16">
        <v>10</v>
      </c>
      <c r="BH60" s="16">
        <v>22</v>
      </c>
      <c r="BI60" s="16">
        <v>16</v>
      </c>
      <c r="BJ60" s="16">
        <v>11</v>
      </c>
      <c r="BK60" s="16">
        <v>27</v>
      </c>
      <c r="BL60" s="16">
        <v>8</v>
      </c>
      <c r="BM60" s="16">
        <v>13</v>
      </c>
      <c r="BN60" s="16">
        <v>16</v>
      </c>
      <c r="BO60" s="16">
        <v>12</v>
      </c>
      <c r="BP60" s="16">
        <v>8</v>
      </c>
      <c r="BQ60" s="16">
        <v>57</v>
      </c>
      <c r="BR60" s="16">
        <v>4</v>
      </c>
      <c r="BS60" s="16">
        <v>0</v>
      </c>
      <c r="BT60" s="16">
        <v>61</v>
      </c>
      <c r="BU60" s="16">
        <v>76</v>
      </c>
      <c r="BV60" s="16">
        <v>137</v>
      </c>
      <c r="BW60" s="16">
        <v>26</v>
      </c>
      <c r="BX60" s="16">
        <v>0</v>
      </c>
      <c r="BY60" s="16">
        <v>24</v>
      </c>
      <c r="BZ60" s="16">
        <v>330</v>
      </c>
      <c r="CA60" s="19">
        <v>2</v>
      </c>
      <c r="CB60" s="19">
        <v>4</v>
      </c>
      <c r="CC60" s="19">
        <v>1</v>
      </c>
      <c r="CD60" s="19">
        <v>34</v>
      </c>
      <c r="CE60" s="19">
        <v>135</v>
      </c>
      <c r="CF60" s="19">
        <v>169</v>
      </c>
      <c r="CG60" s="19">
        <v>8</v>
      </c>
      <c r="CH60" s="19">
        <v>8</v>
      </c>
      <c r="CI60" s="19">
        <v>16</v>
      </c>
      <c r="CJ60" s="19">
        <v>0</v>
      </c>
      <c r="CK60" s="19">
        <v>71</v>
      </c>
      <c r="CL60" s="19">
        <v>61</v>
      </c>
      <c r="CM60" s="19">
        <v>85.92</v>
      </c>
      <c r="CN60" s="19">
        <v>15</v>
      </c>
      <c r="CO60" s="19">
        <v>90</v>
      </c>
      <c r="CP60" s="19">
        <v>105</v>
      </c>
      <c r="CQ60" s="19">
        <v>5</v>
      </c>
      <c r="CR60" s="19">
        <v>6</v>
      </c>
      <c r="CS60" s="19">
        <v>2</v>
      </c>
      <c r="CT60" s="19">
        <v>40</v>
      </c>
      <c r="CU60" s="19">
        <v>28</v>
      </c>
      <c r="CV60" s="19">
        <v>70</v>
      </c>
      <c r="CW60" s="19">
        <f t="shared" si="5"/>
        <v>8</v>
      </c>
      <c r="CX60" s="19">
        <f t="shared" si="6"/>
        <v>10</v>
      </c>
      <c r="CY60" s="19">
        <f t="shared" si="7"/>
        <v>0</v>
      </c>
      <c r="CZ60" s="19">
        <f t="shared" si="8"/>
        <v>12</v>
      </c>
    </row>
    <row r="61" spans="1:104" ht="15.75" customHeight="1" x14ac:dyDescent="0.35">
      <c r="A61" s="15" t="s">
        <v>173</v>
      </c>
      <c r="B61" s="16">
        <v>2</v>
      </c>
      <c r="C61" s="15" t="s">
        <v>109</v>
      </c>
      <c r="D61" s="16">
        <v>6</v>
      </c>
      <c r="E61" s="15">
        <v>1</v>
      </c>
      <c r="F61" s="15" t="s">
        <v>159</v>
      </c>
      <c r="G61" s="15" t="s">
        <v>143</v>
      </c>
      <c r="H61" s="15">
        <v>2</v>
      </c>
      <c r="I61" s="15">
        <v>2</v>
      </c>
      <c r="J61" s="17"/>
      <c r="K61" s="16">
        <v>4</v>
      </c>
      <c r="L61" s="16">
        <v>0</v>
      </c>
      <c r="M61" s="16">
        <v>45</v>
      </c>
      <c r="N61" s="16">
        <v>99</v>
      </c>
      <c r="O61" s="16">
        <v>144</v>
      </c>
      <c r="P61" s="16">
        <v>18</v>
      </c>
      <c r="Q61" s="16">
        <v>6</v>
      </c>
      <c r="R61" s="16">
        <v>15</v>
      </c>
      <c r="S61" s="16">
        <v>376</v>
      </c>
      <c r="T61" s="19">
        <v>3</v>
      </c>
      <c r="U61" s="19">
        <v>6</v>
      </c>
      <c r="V61" s="19">
        <v>2</v>
      </c>
      <c r="W61" s="19">
        <v>82</v>
      </c>
      <c r="X61" s="19">
        <v>212</v>
      </c>
      <c r="Y61" s="19">
        <v>294</v>
      </c>
      <c r="Z61" s="19">
        <v>8</v>
      </c>
      <c r="AA61" s="19">
        <v>8</v>
      </c>
      <c r="AB61" s="19">
        <v>16</v>
      </c>
      <c r="AC61" s="19">
        <v>0</v>
      </c>
      <c r="AD61" s="19">
        <v>69</v>
      </c>
      <c r="AE61" s="19">
        <v>61</v>
      </c>
      <c r="AF61" s="19">
        <v>88.41</v>
      </c>
      <c r="AG61" s="20">
        <v>34926</v>
      </c>
      <c r="AH61" s="20">
        <v>-34758</v>
      </c>
      <c r="AI61" s="19">
        <v>168</v>
      </c>
      <c r="AJ61" s="19">
        <v>7</v>
      </c>
      <c r="AK61" s="19">
        <v>7</v>
      </c>
      <c r="AL61" s="19">
        <v>3</v>
      </c>
      <c r="AM61" s="19">
        <v>42</v>
      </c>
      <c r="AN61" s="19">
        <v>38</v>
      </c>
      <c r="AO61" s="19">
        <v>90.48</v>
      </c>
      <c r="AP61" s="16">
        <v>22</v>
      </c>
      <c r="AQ61" s="16">
        <v>2</v>
      </c>
      <c r="AR61" s="16">
        <v>21</v>
      </c>
      <c r="AS61" s="16"/>
      <c r="AT61" s="16">
        <v>23</v>
      </c>
      <c r="AU61" s="16"/>
      <c r="AV61" s="16">
        <v>30</v>
      </c>
      <c r="AW61" s="16">
        <v>1</v>
      </c>
      <c r="AX61" s="16">
        <v>32</v>
      </c>
      <c r="AY61" s="16"/>
      <c r="AZ61" s="16">
        <v>36</v>
      </c>
      <c r="BA61" s="16">
        <v>1</v>
      </c>
      <c r="BB61" s="16">
        <v>38</v>
      </c>
      <c r="BC61" s="16"/>
      <c r="BD61" s="16">
        <v>40</v>
      </c>
      <c r="BE61" s="16"/>
      <c r="BF61" s="16">
        <v>16</v>
      </c>
      <c r="BG61" s="16">
        <v>11</v>
      </c>
      <c r="BH61" s="16">
        <v>27</v>
      </c>
      <c r="BI61" s="16">
        <v>16</v>
      </c>
      <c r="BJ61" s="16">
        <v>11</v>
      </c>
      <c r="BK61" s="16">
        <v>27</v>
      </c>
      <c r="BL61" s="16">
        <v>8</v>
      </c>
      <c r="BM61" s="16">
        <v>17</v>
      </c>
      <c r="BN61" s="16">
        <v>16</v>
      </c>
      <c r="BO61" s="16">
        <v>12</v>
      </c>
      <c r="BP61" s="16">
        <v>10</v>
      </c>
      <c r="BQ61" s="16">
        <v>63</v>
      </c>
      <c r="BR61" s="16">
        <v>4</v>
      </c>
      <c r="BS61" s="16">
        <v>0</v>
      </c>
      <c r="BT61" s="16">
        <v>35</v>
      </c>
      <c r="BU61" s="16">
        <v>150</v>
      </c>
      <c r="BV61" s="16">
        <v>185</v>
      </c>
      <c r="BW61" s="16">
        <v>25</v>
      </c>
      <c r="BX61" s="16">
        <v>3</v>
      </c>
      <c r="BY61" s="16">
        <v>12</v>
      </c>
      <c r="BZ61" s="16">
        <v>290</v>
      </c>
      <c r="CA61" s="40">
        <v>4</v>
      </c>
      <c r="CB61" s="40">
        <v>6</v>
      </c>
      <c r="CC61" s="40">
        <v>5</v>
      </c>
      <c r="CD61" s="40">
        <v>61</v>
      </c>
      <c r="CE61" s="40">
        <v>181</v>
      </c>
      <c r="CF61" s="40">
        <v>242</v>
      </c>
      <c r="CG61" s="40">
        <v>8</v>
      </c>
      <c r="CH61" s="40">
        <v>9</v>
      </c>
      <c r="CI61" s="40">
        <v>15</v>
      </c>
      <c r="CJ61" s="40">
        <v>1</v>
      </c>
      <c r="CK61" s="40">
        <v>80</v>
      </c>
      <c r="CL61" s="40">
        <v>60</v>
      </c>
      <c r="CM61" s="40">
        <v>75</v>
      </c>
      <c r="CN61" s="40">
        <v>0</v>
      </c>
      <c r="CO61" s="40">
        <v>0</v>
      </c>
      <c r="CP61" s="40">
        <v>0</v>
      </c>
      <c r="CQ61" s="40">
        <v>2</v>
      </c>
      <c r="CR61" s="40">
        <v>0</v>
      </c>
      <c r="CS61" s="40">
        <v>2</v>
      </c>
      <c r="CT61" s="40">
        <v>0</v>
      </c>
      <c r="CU61" s="40">
        <v>0</v>
      </c>
      <c r="CV61" s="40">
        <v>95</v>
      </c>
      <c r="CW61" s="19">
        <f t="shared" si="5"/>
        <v>8</v>
      </c>
      <c r="CX61" s="19">
        <f t="shared" si="6"/>
        <v>20</v>
      </c>
      <c r="CY61" s="19">
        <f t="shared" si="7"/>
        <v>4</v>
      </c>
      <c r="CZ61" s="19">
        <f t="shared" si="8"/>
        <v>0</v>
      </c>
    </row>
    <row r="62" spans="1:104" ht="15.75" customHeight="1" x14ac:dyDescent="0.35">
      <c r="A62" s="34" t="s">
        <v>174</v>
      </c>
      <c r="B62" s="35">
        <v>2</v>
      </c>
      <c r="C62" s="34" t="s">
        <v>105</v>
      </c>
      <c r="D62" s="35">
        <v>6</v>
      </c>
      <c r="E62" s="15">
        <v>1</v>
      </c>
      <c r="F62" s="15" t="s">
        <v>159</v>
      </c>
      <c r="G62" s="34" t="s">
        <v>107</v>
      </c>
      <c r="H62" s="15">
        <v>2</v>
      </c>
      <c r="I62" s="34">
        <v>2</v>
      </c>
      <c r="J62" s="45"/>
      <c r="K62" s="35">
        <v>5</v>
      </c>
      <c r="L62" s="35">
        <v>3</v>
      </c>
      <c r="M62" s="35">
        <v>62</v>
      </c>
      <c r="N62" s="35">
        <v>126</v>
      </c>
      <c r="O62" s="35">
        <v>188</v>
      </c>
      <c r="P62" s="35">
        <v>23</v>
      </c>
      <c r="Q62" s="35">
        <v>1</v>
      </c>
      <c r="R62" s="35">
        <v>15</v>
      </c>
      <c r="S62" s="35">
        <v>292</v>
      </c>
      <c r="T62" s="33">
        <v>1</v>
      </c>
      <c r="U62" s="33">
        <v>2</v>
      </c>
      <c r="V62" s="33">
        <v>0</v>
      </c>
      <c r="W62" s="33">
        <v>42</v>
      </c>
      <c r="X62" s="33">
        <v>205</v>
      </c>
      <c r="Y62" s="33">
        <v>247</v>
      </c>
      <c r="Z62" s="33">
        <v>8</v>
      </c>
      <c r="AA62" s="33">
        <v>8</v>
      </c>
      <c r="AB62" s="33">
        <v>16</v>
      </c>
      <c r="AC62" s="33">
        <v>0</v>
      </c>
      <c r="AD62" s="33">
        <v>69</v>
      </c>
      <c r="AE62" s="33">
        <v>61</v>
      </c>
      <c r="AF62" s="33">
        <v>88.41</v>
      </c>
      <c r="AG62" s="20">
        <v>34008</v>
      </c>
      <c r="AH62" s="20">
        <v>-33930</v>
      </c>
      <c r="AI62" s="33">
        <v>78</v>
      </c>
      <c r="AJ62" s="33">
        <v>4</v>
      </c>
      <c r="AK62" s="33">
        <v>4</v>
      </c>
      <c r="AL62" s="33">
        <v>2</v>
      </c>
      <c r="AM62" s="33">
        <v>20</v>
      </c>
      <c r="AN62" s="33">
        <v>18</v>
      </c>
      <c r="AO62" s="33">
        <v>90</v>
      </c>
      <c r="AP62" s="35">
        <v>14</v>
      </c>
      <c r="AQ62" s="35">
        <v>4</v>
      </c>
      <c r="AR62" s="35">
        <v>16</v>
      </c>
      <c r="AS62" s="35">
        <v>1</v>
      </c>
      <c r="AT62" s="35">
        <v>42</v>
      </c>
      <c r="AU62" s="35"/>
      <c r="AV62" s="35">
        <v>32</v>
      </c>
      <c r="AW62" s="35"/>
      <c r="AX62" s="35">
        <v>42</v>
      </c>
      <c r="AY62" s="35"/>
      <c r="AZ62" s="35">
        <v>49</v>
      </c>
      <c r="BA62" s="35">
        <v>1</v>
      </c>
      <c r="BB62" s="35">
        <v>46</v>
      </c>
      <c r="BC62" s="35"/>
      <c r="BD62" s="35">
        <v>53</v>
      </c>
      <c r="BE62" s="35"/>
      <c r="BF62" s="35">
        <v>8</v>
      </c>
      <c r="BG62" s="35">
        <v>5</v>
      </c>
      <c r="BH62" s="35">
        <v>13</v>
      </c>
      <c r="BI62" s="35">
        <v>8</v>
      </c>
      <c r="BJ62" s="35">
        <v>8</v>
      </c>
      <c r="BK62" s="35">
        <v>16</v>
      </c>
      <c r="BL62" s="35">
        <v>4</v>
      </c>
      <c r="BM62" s="35">
        <v>8</v>
      </c>
      <c r="BN62" s="35">
        <v>8</v>
      </c>
      <c r="BO62" s="35">
        <v>6</v>
      </c>
      <c r="BP62" s="35">
        <v>5</v>
      </c>
      <c r="BQ62" s="35">
        <v>31</v>
      </c>
      <c r="BR62" s="35">
        <v>5</v>
      </c>
      <c r="BS62" s="35">
        <v>4</v>
      </c>
      <c r="BT62" s="35">
        <v>46</v>
      </c>
      <c r="BU62" s="35">
        <v>86</v>
      </c>
      <c r="BV62" s="35">
        <v>132</v>
      </c>
      <c r="BW62" s="35">
        <v>22</v>
      </c>
      <c r="BX62" s="35">
        <v>2</v>
      </c>
      <c r="BY62" s="35">
        <v>24</v>
      </c>
      <c r="BZ62" s="35">
        <v>306</v>
      </c>
      <c r="CA62" s="33">
        <v>2</v>
      </c>
      <c r="CB62" s="33">
        <v>3</v>
      </c>
      <c r="CC62" s="33">
        <v>2</v>
      </c>
      <c r="CD62" s="33">
        <v>42</v>
      </c>
      <c r="CE62" s="33">
        <v>153</v>
      </c>
      <c r="CF62" s="33">
        <v>195</v>
      </c>
      <c r="CG62" s="33">
        <v>8</v>
      </c>
      <c r="CH62" s="33">
        <v>8</v>
      </c>
      <c r="CI62" s="33">
        <v>16</v>
      </c>
      <c r="CJ62" s="33">
        <v>0</v>
      </c>
      <c r="CK62" s="33">
        <v>71</v>
      </c>
      <c r="CL62" s="33">
        <v>61</v>
      </c>
      <c r="CM62" s="33">
        <v>85.92</v>
      </c>
      <c r="CN62" s="33">
        <v>52</v>
      </c>
      <c r="CO62" s="33">
        <v>95</v>
      </c>
      <c r="CP62" s="33">
        <v>147</v>
      </c>
      <c r="CQ62" s="33">
        <v>9</v>
      </c>
      <c r="CR62" s="33">
        <v>5</v>
      </c>
      <c r="CS62" s="33">
        <v>5</v>
      </c>
      <c r="CT62" s="33">
        <v>44</v>
      </c>
      <c r="CU62" s="33">
        <v>37</v>
      </c>
      <c r="CV62" s="33">
        <v>84.09</v>
      </c>
      <c r="CW62" s="19">
        <f t="shared" si="5"/>
        <v>8</v>
      </c>
      <c r="CX62" s="19">
        <f t="shared" si="6"/>
        <v>10</v>
      </c>
      <c r="CY62" s="19">
        <f t="shared" si="7"/>
        <v>2</v>
      </c>
      <c r="CZ62" s="19">
        <f t="shared" si="8"/>
        <v>7</v>
      </c>
    </row>
    <row r="63" spans="1:104" ht="15.75" customHeight="1" x14ac:dyDescent="0.35">
      <c r="A63" s="44" t="s">
        <v>175</v>
      </c>
      <c r="B63" s="16">
        <v>2</v>
      </c>
      <c r="C63" s="15" t="s">
        <v>105</v>
      </c>
      <c r="D63" s="16">
        <v>6</v>
      </c>
      <c r="E63" s="15">
        <v>1</v>
      </c>
      <c r="F63" s="15" t="s">
        <v>159</v>
      </c>
      <c r="G63" s="15" t="s">
        <v>107</v>
      </c>
      <c r="H63" s="15">
        <v>2</v>
      </c>
      <c r="I63" s="15">
        <v>2</v>
      </c>
      <c r="J63" s="17"/>
      <c r="K63" s="16">
        <v>4</v>
      </c>
      <c r="L63" s="16">
        <v>3</v>
      </c>
      <c r="M63" s="16">
        <v>30</v>
      </c>
      <c r="N63" s="16">
        <v>121</v>
      </c>
      <c r="O63" s="16">
        <v>151</v>
      </c>
      <c r="P63" s="16">
        <v>22</v>
      </c>
      <c r="Q63" s="16">
        <v>9</v>
      </c>
      <c r="R63" s="16">
        <v>14</v>
      </c>
      <c r="S63" s="16">
        <v>303</v>
      </c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16">
        <v>17</v>
      </c>
      <c r="AQ63" s="16">
        <v>4</v>
      </c>
      <c r="AR63" s="16">
        <v>28</v>
      </c>
      <c r="AS63" s="16">
        <v>1</v>
      </c>
      <c r="AT63" s="16">
        <v>46</v>
      </c>
      <c r="AU63" s="16"/>
      <c r="AV63" s="16">
        <v>29</v>
      </c>
      <c r="AW63" s="16">
        <v>2</v>
      </c>
      <c r="AX63" s="16">
        <v>34</v>
      </c>
      <c r="AY63" s="16">
        <v>1</v>
      </c>
      <c r="AZ63" s="16">
        <v>44</v>
      </c>
      <c r="BA63" s="16"/>
      <c r="BB63" s="16">
        <v>43</v>
      </c>
      <c r="BC63" s="16"/>
      <c r="BD63" s="16">
        <v>36</v>
      </c>
      <c r="BE63" s="16">
        <v>1</v>
      </c>
      <c r="BF63" s="16">
        <v>14</v>
      </c>
      <c r="BG63" s="16">
        <v>10</v>
      </c>
      <c r="BH63" s="16">
        <v>24</v>
      </c>
      <c r="BI63" s="16">
        <v>10</v>
      </c>
      <c r="BJ63" s="16">
        <v>14</v>
      </c>
      <c r="BK63" s="16">
        <v>24</v>
      </c>
      <c r="BL63" s="16">
        <v>6</v>
      </c>
      <c r="BM63" s="16">
        <v>8</v>
      </c>
      <c r="BN63" s="16">
        <v>14</v>
      </c>
      <c r="BO63" s="16">
        <v>7</v>
      </c>
      <c r="BP63" s="16">
        <v>6</v>
      </c>
      <c r="BQ63" s="16">
        <v>41</v>
      </c>
      <c r="BR63" s="16">
        <v>4</v>
      </c>
      <c r="BS63" s="16">
        <v>3</v>
      </c>
      <c r="BT63" s="16">
        <v>71</v>
      </c>
      <c r="BU63" s="16">
        <v>97</v>
      </c>
      <c r="BV63" s="16">
        <v>168</v>
      </c>
      <c r="BW63" s="16">
        <v>28</v>
      </c>
      <c r="BX63" s="16">
        <v>1</v>
      </c>
      <c r="BY63" s="16">
        <v>21</v>
      </c>
      <c r="BZ63" s="16">
        <v>250</v>
      </c>
      <c r="CA63" s="19">
        <v>4</v>
      </c>
      <c r="CB63" s="19">
        <v>5</v>
      </c>
      <c r="CC63" s="19">
        <v>2</v>
      </c>
      <c r="CD63" s="19">
        <v>32</v>
      </c>
      <c r="CE63" s="19">
        <v>127</v>
      </c>
      <c r="CF63" s="19">
        <v>159</v>
      </c>
      <c r="CG63" s="19">
        <v>8</v>
      </c>
      <c r="CH63" s="19">
        <v>8</v>
      </c>
      <c r="CI63" s="19">
        <v>16</v>
      </c>
      <c r="CJ63" s="19">
        <v>0</v>
      </c>
      <c r="CK63" s="19">
        <v>67</v>
      </c>
      <c r="CL63" s="19">
        <v>61</v>
      </c>
      <c r="CM63" s="19">
        <v>91.04</v>
      </c>
      <c r="CN63" s="19">
        <v>17</v>
      </c>
      <c r="CO63" s="19">
        <v>60</v>
      </c>
      <c r="CP63" s="19">
        <v>77</v>
      </c>
      <c r="CQ63" s="19">
        <v>5</v>
      </c>
      <c r="CR63" s="19">
        <v>6</v>
      </c>
      <c r="CS63" s="19">
        <v>2</v>
      </c>
      <c r="CT63" s="19">
        <v>30</v>
      </c>
      <c r="CU63" s="19">
        <v>28</v>
      </c>
      <c r="CV63" s="19">
        <v>93.33</v>
      </c>
      <c r="CW63" s="19">
        <f t="shared" si="5"/>
        <v>0</v>
      </c>
      <c r="CX63" s="19">
        <f t="shared" si="6"/>
        <v>6</v>
      </c>
      <c r="CY63" s="19">
        <f t="shared" si="7"/>
        <v>0</v>
      </c>
      <c r="CZ63" s="19">
        <f t="shared" si="8"/>
        <v>2</v>
      </c>
    </row>
    <row r="64" spans="1:104" ht="15.75" customHeight="1" x14ac:dyDescent="0.35">
      <c r="A64" s="15" t="s">
        <v>176</v>
      </c>
      <c r="B64" s="16">
        <v>1</v>
      </c>
      <c r="C64" s="15" t="s">
        <v>105</v>
      </c>
      <c r="D64" s="16">
        <v>6</v>
      </c>
      <c r="E64" s="15">
        <v>1</v>
      </c>
      <c r="F64" s="15" t="s">
        <v>177</v>
      </c>
      <c r="G64" s="15" t="s">
        <v>107</v>
      </c>
      <c r="H64" s="15">
        <v>2</v>
      </c>
      <c r="I64" s="15">
        <v>2</v>
      </c>
      <c r="J64" s="17"/>
      <c r="K64" s="16">
        <v>4</v>
      </c>
      <c r="L64" s="16">
        <v>0</v>
      </c>
      <c r="M64" s="16">
        <v>89</v>
      </c>
      <c r="N64" s="16">
        <v>123</v>
      </c>
      <c r="O64" s="16">
        <v>212</v>
      </c>
      <c r="P64" s="16">
        <v>19</v>
      </c>
      <c r="Q64" s="16">
        <v>4</v>
      </c>
      <c r="R64" s="16">
        <v>15</v>
      </c>
      <c r="S64" s="16">
        <v>333</v>
      </c>
      <c r="T64" s="19">
        <v>4</v>
      </c>
      <c r="U64" s="19">
        <v>6</v>
      </c>
      <c r="V64" s="19">
        <v>1</v>
      </c>
      <c r="W64" s="19">
        <v>60</v>
      </c>
      <c r="X64" s="19">
        <v>583</v>
      </c>
      <c r="Y64" s="19">
        <v>643</v>
      </c>
      <c r="Z64" s="19">
        <v>8</v>
      </c>
      <c r="AA64" s="19">
        <v>8</v>
      </c>
      <c r="AB64" s="19">
        <v>16</v>
      </c>
      <c r="AC64" s="19">
        <v>0</v>
      </c>
      <c r="AD64" s="19">
        <v>117</v>
      </c>
      <c r="AE64" s="19">
        <v>61</v>
      </c>
      <c r="AF64" s="19">
        <v>52.14</v>
      </c>
      <c r="AG64" s="19">
        <v>10</v>
      </c>
      <c r="AH64" s="19">
        <v>70</v>
      </c>
      <c r="AI64" s="19">
        <v>80</v>
      </c>
      <c r="AJ64" s="19">
        <v>5</v>
      </c>
      <c r="AK64" s="19">
        <v>3</v>
      </c>
      <c r="AL64" s="19">
        <v>3</v>
      </c>
      <c r="AM64" s="19">
        <v>26</v>
      </c>
      <c r="AN64" s="19">
        <v>18</v>
      </c>
      <c r="AO64" s="19">
        <v>69.23</v>
      </c>
      <c r="AP64" s="16">
        <v>28</v>
      </c>
      <c r="AQ64" s="16"/>
      <c r="AR64" s="16">
        <v>42</v>
      </c>
      <c r="AS64" s="16"/>
      <c r="AT64" s="16">
        <v>53</v>
      </c>
      <c r="AU64" s="16"/>
      <c r="AV64" s="16">
        <v>48</v>
      </c>
      <c r="AW64" s="16"/>
      <c r="AX64" s="16">
        <v>42</v>
      </c>
      <c r="AY64" s="16"/>
      <c r="AZ64" s="16">
        <v>56</v>
      </c>
      <c r="BA64" s="16"/>
      <c r="BB64" s="16">
        <v>58</v>
      </c>
      <c r="BC64" s="16"/>
      <c r="BD64" s="16">
        <v>52</v>
      </c>
      <c r="BE64" s="16"/>
      <c r="BF64" s="16">
        <v>8</v>
      </c>
      <c r="BG64" s="16">
        <v>5</v>
      </c>
      <c r="BH64" s="16">
        <v>13</v>
      </c>
      <c r="BI64" s="16">
        <v>9</v>
      </c>
      <c r="BJ64" s="16">
        <v>8</v>
      </c>
      <c r="BK64" s="16">
        <v>17</v>
      </c>
      <c r="BL64" s="16">
        <v>5</v>
      </c>
      <c r="BM64" s="16">
        <v>8</v>
      </c>
      <c r="BN64" s="16">
        <v>8</v>
      </c>
      <c r="BO64" s="16">
        <v>7</v>
      </c>
      <c r="BP64" s="16">
        <v>5</v>
      </c>
      <c r="BQ64" s="16">
        <v>33</v>
      </c>
      <c r="BR64" s="16">
        <v>4</v>
      </c>
      <c r="BS64" s="16">
        <v>0</v>
      </c>
      <c r="BT64" s="16">
        <v>170</v>
      </c>
      <c r="BU64" s="16">
        <v>144</v>
      </c>
      <c r="BV64" s="16">
        <v>314</v>
      </c>
      <c r="BW64" s="16">
        <v>29</v>
      </c>
      <c r="BX64" s="16">
        <v>0</v>
      </c>
      <c r="BY64" s="16">
        <v>21</v>
      </c>
      <c r="BZ64" s="16">
        <v>330</v>
      </c>
      <c r="CA64" s="19">
        <v>3</v>
      </c>
      <c r="CB64" s="19">
        <v>4</v>
      </c>
      <c r="CC64" s="19">
        <v>4</v>
      </c>
      <c r="CD64" s="19">
        <v>45</v>
      </c>
      <c r="CE64" s="19">
        <v>108</v>
      </c>
      <c r="CF64" s="19">
        <v>153</v>
      </c>
      <c r="CG64" s="19">
        <v>8</v>
      </c>
      <c r="CH64" s="19">
        <v>8</v>
      </c>
      <c r="CI64" s="19">
        <v>16</v>
      </c>
      <c r="CJ64" s="19">
        <v>0</v>
      </c>
      <c r="CK64" s="19">
        <v>67</v>
      </c>
      <c r="CL64" s="19">
        <v>61</v>
      </c>
      <c r="CM64" s="19">
        <v>91.04</v>
      </c>
      <c r="CN64" s="19">
        <v>16</v>
      </c>
      <c r="CO64" s="19">
        <v>75</v>
      </c>
      <c r="CP64" s="19">
        <v>91</v>
      </c>
      <c r="CQ64" s="19">
        <v>7</v>
      </c>
      <c r="CR64" s="19">
        <v>7</v>
      </c>
      <c r="CS64" s="19">
        <v>3</v>
      </c>
      <c r="CT64" s="19">
        <v>36</v>
      </c>
      <c r="CU64" s="19">
        <v>36</v>
      </c>
      <c r="CV64" s="19">
        <v>100</v>
      </c>
      <c r="CW64" s="52">
        <f t="shared" si="5"/>
        <v>56</v>
      </c>
      <c r="CX64" s="19">
        <f t="shared" si="6"/>
        <v>6</v>
      </c>
      <c r="CY64" s="19">
        <f t="shared" si="7"/>
        <v>8</v>
      </c>
      <c r="CZ64" s="19">
        <f t="shared" si="8"/>
        <v>0</v>
      </c>
    </row>
    <row r="65" spans="1:104" ht="15.75" customHeight="1" x14ac:dyDescent="0.35">
      <c r="A65" s="15" t="s">
        <v>178</v>
      </c>
      <c r="B65" s="16">
        <v>1</v>
      </c>
      <c r="C65" s="15" t="s">
        <v>105</v>
      </c>
      <c r="D65" s="16">
        <v>6</v>
      </c>
      <c r="E65" s="15">
        <v>1</v>
      </c>
      <c r="F65" s="15" t="s">
        <v>177</v>
      </c>
      <c r="G65" s="15" t="s">
        <v>107</v>
      </c>
      <c r="H65" s="15">
        <v>2</v>
      </c>
      <c r="I65" s="15">
        <v>2</v>
      </c>
      <c r="J65" s="17"/>
      <c r="K65" s="16">
        <v>0</v>
      </c>
      <c r="L65" s="16">
        <v>0</v>
      </c>
      <c r="M65" s="16">
        <v>182</v>
      </c>
      <c r="N65" s="16">
        <v>206</v>
      </c>
      <c r="O65" s="16">
        <v>388</v>
      </c>
      <c r="P65" s="16">
        <v>30</v>
      </c>
      <c r="Q65" s="16">
        <v>0</v>
      </c>
      <c r="R65" s="16">
        <v>29</v>
      </c>
      <c r="S65" s="16">
        <v>515</v>
      </c>
      <c r="T65" s="19">
        <v>1</v>
      </c>
      <c r="U65" s="19">
        <v>2</v>
      </c>
      <c r="V65" s="19">
        <v>0</v>
      </c>
      <c r="W65" s="19">
        <v>233</v>
      </c>
      <c r="X65" s="19">
        <v>680</v>
      </c>
      <c r="Y65" s="19">
        <v>913</v>
      </c>
      <c r="Z65" s="19">
        <v>8</v>
      </c>
      <c r="AA65" s="19">
        <v>8</v>
      </c>
      <c r="AB65" s="19">
        <v>16</v>
      </c>
      <c r="AC65" s="19">
        <v>0</v>
      </c>
      <c r="AD65" s="19">
        <v>71</v>
      </c>
      <c r="AE65" s="19">
        <v>61</v>
      </c>
      <c r="AF65" s="19">
        <v>85.92</v>
      </c>
      <c r="AG65" s="19">
        <v>9</v>
      </c>
      <c r="AH65" s="19">
        <v>83</v>
      </c>
      <c r="AI65" s="19">
        <v>92</v>
      </c>
      <c r="AJ65" s="19">
        <v>3</v>
      </c>
      <c r="AK65" s="19">
        <v>2</v>
      </c>
      <c r="AL65" s="19">
        <v>2</v>
      </c>
      <c r="AM65" s="19">
        <v>10</v>
      </c>
      <c r="AN65" s="19">
        <v>8</v>
      </c>
      <c r="AO65" s="19">
        <v>80</v>
      </c>
      <c r="AP65" s="16">
        <v>21</v>
      </c>
      <c r="AQ65" s="16"/>
      <c r="AR65" s="16">
        <v>39</v>
      </c>
      <c r="AS65" s="16"/>
      <c r="AT65" s="16">
        <v>46</v>
      </c>
      <c r="AU65" s="16"/>
      <c r="AV65" s="16">
        <v>48</v>
      </c>
      <c r="AW65" s="16"/>
      <c r="AX65" s="16">
        <v>45</v>
      </c>
      <c r="AY65" s="16"/>
      <c r="AZ65" s="16">
        <v>56</v>
      </c>
      <c r="BA65" s="16"/>
      <c r="BB65" s="16">
        <v>62</v>
      </c>
      <c r="BC65" s="16"/>
      <c r="BD65" s="16">
        <v>54</v>
      </c>
      <c r="BE65" s="16"/>
      <c r="BF65" s="16">
        <v>8</v>
      </c>
      <c r="BG65" s="16">
        <v>5</v>
      </c>
      <c r="BH65" s="16">
        <v>13</v>
      </c>
      <c r="BI65" s="16">
        <v>8</v>
      </c>
      <c r="BJ65" s="16">
        <v>8</v>
      </c>
      <c r="BK65" s="16">
        <v>16</v>
      </c>
      <c r="BL65" s="16">
        <v>4</v>
      </c>
      <c r="BM65" s="16">
        <v>8</v>
      </c>
      <c r="BN65" s="16">
        <v>8</v>
      </c>
      <c r="BO65" s="16">
        <v>6</v>
      </c>
      <c r="BP65" s="16">
        <v>5</v>
      </c>
      <c r="BQ65" s="16">
        <v>31</v>
      </c>
      <c r="BR65" s="16">
        <v>0</v>
      </c>
      <c r="BS65" s="16">
        <v>0</v>
      </c>
      <c r="BT65" s="16">
        <v>132</v>
      </c>
      <c r="BU65" s="16">
        <v>158</v>
      </c>
      <c r="BV65" s="16">
        <v>290</v>
      </c>
      <c r="BW65" s="16">
        <v>29</v>
      </c>
      <c r="BX65" s="16">
        <v>0</v>
      </c>
      <c r="BY65" s="16">
        <v>25</v>
      </c>
      <c r="BZ65" s="16">
        <v>396</v>
      </c>
      <c r="CA65" s="19">
        <v>2</v>
      </c>
      <c r="CB65" s="19">
        <v>3</v>
      </c>
      <c r="CC65" s="19">
        <v>0</v>
      </c>
      <c r="CD65" s="19">
        <v>121</v>
      </c>
      <c r="CE65" s="19">
        <v>454</v>
      </c>
      <c r="CF65" s="19">
        <v>575</v>
      </c>
      <c r="CG65" s="19">
        <v>8</v>
      </c>
      <c r="CH65" s="19">
        <v>8</v>
      </c>
      <c r="CI65" s="19">
        <v>16</v>
      </c>
      <c r="CJ65" s="19">
        <v>0</v>
      </c>
      <c r="CK65" s="19">
        <v>69</v>
      </c>
      <c r="CL65" s="19">
        <v>61</v>
      </c>
      <c r="CM65" s="19">
        <v>88.41</v>
      </c>
      <c r="CN65" s="19">
        <v>49</v>
      </c>
      <c r="CO65" s="19">
        <v>121</v>
      </c>
      <c r="CP65" s="19">
        <v>170</v>
      </c>
      <c r="CQ65" s="19">
        <v>6</v>
      </c>
      <c r="CR65" s="19">
        <v>8</v>
      </c>
      <c r="CS65" s="19">
        <v>2</v>
      </c>
      <c r="CT65" s="19">
        <v>36</v>
      </c>
      <c r="CU65" s="19">
        <v>36</v>
      </c>
      <c r="CV65" s="19">
        <v>100</v>
      </c>
      <c r="CW65" s="19">
        <f t="shared" si="5"/>
        <v>10</v>
      </c>
      <c r="CX65" s="19">
        <f t="shared" si="6"/>
        <v>8</v>
      </c>
      <c r="CY65" s="19">
        <f t="shared" si="7"/>
        <v>2</v>
      </c>
      <c r="CZ65" s="19">
        <f t="shared" si="8"/>
        <v>0</v>
      </c>
    </row>
    <row r="66" spans="1:104" ht="15.75" customHeight="1" x14ac:dyDescent="0.35">
      <c r="A66" s="15" t="s">
        <v>179</v>
      </c>
      <c r="B66" s="16">
        <v>1</v>
      </c>
      <c r="C66" s="15" t="s">
        <v>109</v>
      </c>
      <c r="D66" s="16">
        <v>6</v>
      </c>
      <c r="E66" s="15">
        <v>1</v>
      </c>
      <c r="F66" s="15" t="s">
        <v>177</v>
      </c>
      <c r="G66" s="15" t="s">
        <v>107</v>
      </c>
      <c r="H66" s="15">
        <v>2</v>
      </c>
      <c r="I66" s="15">
        <v>2</v>
      </c>
      <c r="J66" s="17"/>
      <c r="K66" s="16">
        <v>4</v>
      </c>
      <c r="L66" s="16">
        <v>3</v>
      </c>
      <c r="M66" s="16">
        <v>96</v>
      </c>
      <c r="N66" s="16">
        <v>110</v>
      </c>
      <c r="O66" s="16">
        <v>206</v>
      </c>
      <c r="P66" s="16">
        <v>26</v>
      </c>
      <c r="Q66" s="16">
        <v>1</v>
      </c>
      <c r="R66" s="16">
        <v>18</v>
      </c>
      <c r="S66" s="16">
        <v>480</v>
      </c>
      <c r="T66" s="19">
        <v>3</v>
      </c>
      <c r="U66" s="19">
        <v>4</v>
      </c>
      <c r="V66" s="19">
        <v>2</v>
      </c>
      <c r="W66" s="19">
        <v>39</v>
      </c>
      <c r="X66" s="19">
        <v>163</v>
      </c>
      <c r="Y66" s="19">
        <v>202</v>
      </c>
      <c r="Z66" s="19">
        <v>8</v>
      </c>
      <c r="AA66" s="19">
        <v>8</v>
      </c>
      <c r="AB66" s="19">
        <v>16</v>
      </c>
      <c r="AC66" s="19">
        <v>0</v>
      </c>
      <c r="AD66" s="19">
        <v>67</v>
      </c>
      <c r="AE66" s="19">
        <v>61</v>
      </c>
      <c r="AF66" s="19">
        <v>91.04</v>
      </c>
      <c r="AG66" s="19">
        <v>9</v>
      </c>
      <c r="AH66" s="19">
        <v>81</v>
      </c>
      <c r="AI66" s="19">
        <v>90</v>
      </c>
      <c r="AJ66" s="19">
        <v>5</v>
      </c>
      <c r="AK66" s="19">
        <v>3</v>
      </c>
      <c r="AL66" s="19">
        <v>3</v>
      </c>
      <c r="AM66" s="19">
        <v>23</v>
      </c>
      <c r="AN66" s="19">
        <v>19</v>
      </c>
      <c r="AO66" s="19">
        <v>82.61</v>
      </c>
      <c r="AP66" s="16">
        <v>24</v>
      </c>
      <c r="AQ66" s="16"/>
      <c r="AR66" s="16">
        <v>37</v>
      </c>
      <c r="AS66" s="16"/>
      <c r="AT66" s="16">
        <v>48</v>
      </c>
      <c r="AU66" s="16"/>
      <c r="AV66" s="16">
        <v>45</v>
      </c>
      <c r="AW66" s="16"/>
      <c r="AX66" s="16">
        <v>41</v>
      </c>
      <c r="AY66" s="16"/>
      <c r="AZ66" s="16">
        <v>54</v>
      </c>
      <c r="BA66" s="16"/>
      <c r="BB66" s="16">
        <v>56</v>
      </c>
      <c r="BC66" s="16"/>
      <c r="BD66" s="16">
        <v>53</v>
      </c>
      <c r="BE66" s="16"/>
      <c r="BF66" s="16">
        <v>8</v>
      </c>
      <c r="BG66" s="16">
        <v>5</v>
      </c>
      <c r="BH66" s="16">
        <v>13</v>
      </c>
      <c r="BI66" s="16">
        <v>8</v>
      </c>
      <c r="BJ66" s="16">
        <v>8</v>
      </c>
      <c r="BK66" s="16">
        <v>16</v>
      </c>
      <c r="BL66" s="16">
        <v>4</v>
      </c>
      <c r="BM66" s="16">
        <v>8</v>
      </c>
      <c r="BN66" s="16">
        <v>8</v>
      </c>
      <c r="BO66" s="16">
        <v>7</v>
      </c>
      <c r="BP66" s="16">
        <v>5</v>
      </c>
      <c r="BQ66" s="16">
        <v>32</v>
      </c>
      <c r="BR66" s="16">
        <v>0</v>
      </c>
      <c r="BS66" s="16">
        <v>4</v>
      </c>
      <c r="BT66" s="16">
        <v>108</v>
      </c>
      <c r="BU66" s="16">
        <v>91</v>
      </c>
      <c r="BV66" s="16">
        <v>199</v>
      </c>
      <c r="BW66" s="16">
        <v>28</v>
      </c>
      <c r="BX66" s="16">
        <v>0</v>
      </c>
      <c r="BY66" s="16">
        <v>17</v>
      </c>
      <c r="BZ66" s="16">
        <v>316</v>
      </c>
      <c r="CA66" s="19">
        <v>3</v>
      </c>
      <c r="CB66" s="19">
        <v>5</v>
      </c>
      <c r="CC66" s="19">
        <v>1</v>
      </c>
      <c r="CD66" s="19">
        <v>24</v>
      </c>
      <c r="CE66" s="19">
        <v>101</v>
      </c>
      <c r="CF66" s="19">
        <v>125</v>
      </c>
      <c r="CG66" s="19">
        <v>8</v>
      </c>
      <c r="CH66" s="19">
        <v>8</v>
      </c>
      <c r="CI66" s="19">
        <v>16</v>
      </c>
      <c r="CJ66" s="19">
        <v>0</v>
      </c>
      <c r="CK66" s="19">
        <v>65</v>
      </c>
      <c r="CL66" s="19">
        <v>61</v>
      </c>
      <c r="CM66" s="19">
        <v>93.85</v>
      </c>
      <c r="CN66" s="19">
        <v>10</v>
      </c>
      <c r="CO66" s="19">
        <v>29</v>
      </c>
      <c r="CP66" s="19">
        <v>39</v>
      </c>
      <c r="CQ66" s="19">
        <v>4</v>
      </c>
      <c r="CR66" s="19">
        <v>4</v>
      </c>
      <c r="CS66" s="19">
        <v>2</v>
      </c>
      <c r="CT66" s="19">
        <v>20</v>
      </c>
      <c r="CU66" s="19">
        <v>18</v>
      </c>
      <c r="CV66" s="19">
        <v>90</v>
      </c>
      <c r="CW66" s="19">
        <f t="shared" si="5"/>
        <v>6</v>
      </c>
      <c r="CX66" s="19">
        <f t="shared" si="6"/>
        <v>4</v>
      </c>
      <c r="CY66" s="19">
        <f t="shared" si="7"/>
        <v>4</v>
      </c>
      <c r="CZ66" s="19">
        <f t="shared" si="8"/>
        <v>2</v>
      </c>
    </row>
    <row r="67" spans="1:104" ht="15.75" customHeight="1" x14ac:dyDescent="0.35">
      <c r="A67" s="15" t="s">
        <v>180</v>
      </c>
      <c r="B67" s="16">
        <v>1</v>
      </c>
      <c r="C67" s="15" t="s">
        <v>105</v>
      </c>
      <c r="D67" s="16">
        <v>6</v>
      </c>
      <c r="E67" s="15">
        <v>1</v>
      </c>
      <c r="F67" s="15" t="s">
        <v>177</v>
      </c>
      <c r="G67" s="15" t="s">
        <v>107</v>
      </c>
      <c r="H67" s="15">
        <v>2</v>
      </c>
      <c r="I67" s="15">
        <v>2</v>
      </c>
      <c r="J67" s="17"/>
      <c r="K67" s="16">
        <v>5</v>
      </c>
      <c r="L67" s="16">
        <v>5</v>
      </c>
      <c r="M67" s="16">
        <v>90</v>
      </c>
      <c r="N67" s="16">
        <v>110</v>
      </c>
      <c r="O67" s="16">
        <v>200</v>
      </c>
      <c r="P67" s="16">
        <v>29</v>
      </c>
      <c r="Q67" s="16">
        <v>1</v>
      </c>
      <c r="R67" s="16">
        <v>29</v>
      </c>
      <c r="S67" s="16">
        <v>306</v>
      </c>
      <c r="T67" s="22">
        <v>2</v>
      </c>
      <c r="U67" s="22">
        <v>3</v>
      </c>
      <c r="V67" s="22">
        <v>2</v>
      </c>
      <c r="W67" s="19">
        <v>42</v>
      </c>
      <c r="X67" s="19">
        <v>117</v>
      </c>
      <c r="Y67" s="19">
        <v>159</v>
      </c>
      <c r="Z67" s="19">
        <v>8</v>
      </c>
      <c r="AA67" s="19">
        <v>8</v>
      </c>
      <c r="AB67" s="19">
        <v>16</v>
      </c>
      <c r="AC67" s="19">
        <v>0</v>
      </c>
      <c r="AD67" s="19">
        <v>61</v>
      </c>
      <c r="AE67" s="19">
        <v>61</v>
      </c>
      <c r="AF67" s="19">
        <v>100</v>
      </c>
      <c r="AG67" s="19">
        <v>16</v>
      </c>
      <c r="AH67" s="19">
        <v>74</v>
      </c>
      <c r="AI67" s="19">
        <v>90</v>
      </c>
      <c r="AJ67" s="19">
        <v>6</v>
      </c>
      <c r="AK67" s="19">
        <v>8</v>
      </c>
      <c r="AL67" s="19">
        <v>2</v>
      </c>
      <c r="AM67" s="19">
        <v>0</v>
      </c>
      <c r="AN67" s="19">
        <v>36</v>
      </c>
      <c r="AO67" s="19">
        <v>91.67</v>
      </c>
      <c r="AP67" s="16">
        <v>30</v>
      </c>
      <c r="AQ67" s="16"/>
      <c r="AR67" s="16">
        <v>39</v>
      </c>
      <c r="AS67" s="16"/>
      <c r="AT67" s="16">
        <v>47</v>
      </c>
      <c r="AU67" s="16"/>
      <c r="AV67" s="16">
        <v>48</v>
      </c>
      <c r="AW67" s="16"/>
      <c r="AX67" s="16">
        <v>44</v>
      </c>
      <c r="AY67" s="16"/>
      <c r="AZ67" s="16">
        <v>57</v>
      </c>
      <c r="BA67" s="16"/>
      <c r="BB67" s="16">
        <v>52</v>
      </c>
      <c r="BC67" s="16"/>
      <c r="BD67" s="16">
        <v>48</v>
      </c>
      <c r="BE67" s="16"/>
      <c r="BF67" s="16">
        <v>8</v>
      </c>
      <c r="BG67" s="16">
        <v>5</v>
      </c>
      <c r="BH67" s="16">
        <v>13</v>
      </c>
      <c r="BI67" s="16">
        <v>8</v>
      </c>
      <c r="BJ67" s="16">
        <v>8</v>
      </c>
      <c r="BK67" s="16">
        <v>16</v>
      </c>
      <c r="BL67" s="16">
        <v>4</v>
      </c>
      <c r="BM67" s="16">
        <v>8</v>
      </c>
      <c r="BN67" s="16">
        <v>8</v>
      </c>
      <c r="BO67" s="16">
        <v>6</v>
      </c>
      <c r="BP67" s="16">
        <v>5</v>
      </c>
      <c r="BQ67" s="16">
        <v>31</v>
      </c>
      <c r="BR67" s="16">
        <v>4</v>
      </c>
      <c r="BS67" s="16">
        <v>4</v>
      </c>
      <c r="BT67" s="16">
        <v>82</v>
      </c>
      <c r="BU67" s="16">
        <v>134</v>
      </c>
      <c r="BV67" s="16">
        <v>216</v>
      </c>
      <c r="BW67" s="16">
        <v>31</v>
      </c>
      <c r="BX67" s="16">
        <v>0</v>
      </c>
      <c r="BY67" s="16">
        <v>27</v>
      </c>
      <c r="BZ67" s="16">
        <v>208</v>
      </c>
      <c r="CA67" s="19">
        <v>2</v>
      </c>
      <c r="CB67" s="19">
        <v>3</v>
      </c>
      <c r="CC67" s="19">
        <v>2</v>
      </c>
      <c r="CD67" s="19">
        <v>40</v>
      </c>
      <c r="CE67" s="19">
        <v>120</v>
      </c>
      <c r="CF67" s="19">
        <v>160</v>
      </c>
      <c r="CG67" s="19">
        <v>8</v>
      </c>
      <c r="CH67" s="19">
        <v>8</v>
      </c>
      <c r="CI67" s="19">
        <v>16</v>
      </c>
      <c r="CJ67" s="19">
        <v>0</v>
      </c>
      <c r="CK67" s="33">
        <v>67</v>
      </c>
      <c r="CL67" s="19">
        <v>61</v>
      </c>
      <c r="CM67" s="19">
        <v>112.96</v>
      </c>
      <c r="CN67" s="19">
        <v>9</v>
      </c>
      <c r="CO67" s="19">
        <v>63</v>
      </c>
      <c r="CP67" s="19">
        <v>72</v>
      </c>
      <c r="CQ67" s="19">
        <v>5</v>
      </c>
      <c r="CR67" s="19">
        <v>6</v>
      </c>
      <c r="CS67" s="19">
        <v>2</v>
      </c>
      <c r="CT67" s="19">
        <v>32</v>
      </c>
      <c r="CU67" s="19">
        <v>28</v>
      </c>
      <c r="CV67" s="19">
        <v>87.5</v>
      </c>
      <c r="CW67" s="19">
        <f t="shared" si="5"/>
        <v>0</v>
      </c>
      <c r="CX67" s="19">
        <f t="shared" si="6"/>
        <v>6</v>
      </c>
      <c r="CY67" s="37">
        <f t="shared" si="7"/>
        <v>-36</v>
      </c>
      <c r="CZ67" s="19">
        <f t="shared" si="8"/>
        <v>4</v>
      </c>
    </row>
    <row r="68" spans="1:104" ht="15.75" customHeight="1" x14ac:dyDescent="0.35">
      <c r="A68" s="15" t="s">
        <v>181</v>
      </c>
      <c r="B68" s="16">
        <v>1</v>
      </c>
      <c r="C68" s="15" t="s">
        <v>109</v>
      </c>
      <c r="D68" s="16">
        <v>6</v>
      </c>
      <c r="E68" s="15">
        <v>1</v>
      </c>
      <c r="F68" s="15" t="s">
        <v>177</v>
      </c>
      <c r="G68" s="15" t="s">
        <v>107</v>
      </c>
      <c r="H68" s="15">
        <v>2</v>
      </c>
      <c r="I68" s="15">
        <v>2</v>
      </c>
      <c r="J68" s="17"/>
      <c r="K68" s="16">
        <v>4</v>
      </c>
      <c r="L68" s="16">
        <v>3</v>
      </c>
      <c r="M68" s="16">
        <v>73</v>
      </c>
      <c r="N68" s="16">
        <v>115</v>
      </c>
      <c r="O68" s="16">
        <v>188</v>
      </c>
      <c r="P68" s="16">
        <v>26</v>
      </c>
      <c r="Q68" s="16">
        <v>1</v>
      </c>
      <c r="R68" s="16">
        <v>21</v>
      </c>
      <c r="S68" s="16">
        <v>343</v>
      </c>
      <c r="T68" s="19">
        <v>3</v>
      </c>
      <c r="U68" s="19">
        <v>4</v>
      </c>
      <c r="V68" s="19">
        <v>4</v>
      </c>
      <c r="W68" s="19">
        <v>81</v>
      </c>
      <c r="X68" s="19">
        <v>285</v>
      </c>
      <c r="Y68" s="19">
        <v>366</v>
      </c>
      <c r="Z68" s="19">
        <v>8</v>
      </c>
      <c r="AA68" s="19">
        <v>8</v>
      </c>
      <c r="AB68" s="19">
        <v>16</v>
      </c>
      <c r="AC68" s="19">
        <v>0</v>
      </c>
      <c r="AD68" s="19">
        <v>83</v>
      </c>
      <c r="AE68" s="19">
        <v>61</v>
      </c>
      <c r="AF68" s="19">
        <v>73.489999999999995</v>
      </c>
      <c r="AG68" s="19">
        <v>52</v>
      </c>
      <c r="AH68" s="19">
        <v>150</v>
      </c>
      <c r="AI68" s="19">
        <v>202</v>
      </c>
      <c r="AJ68" s="19">
        <v>7</v>
      </c>
      <c r="AK68" s="19">
        <v>7</v>
      </c>
      <c r="AL68" s="19">
        <v>3</v>
      </c>
      <c r="AM68" s="19">
        <v>42</v>
      </c>
      <c r="AN68" s="19">
        <v>38</v>
      </c>
      <c r="AO68" s="19">
        <v>90.48</v>
      </c>
      <c r="AP68" s="16">
        <v>29</v>
      </c>
      <c r="AQ68" s="16"/>
      <c r="AR68" s="16">
        <v>38</v>
      </c>
      <c r="AS68" s="16"/>
      <c r="AT68" s="16">
        <v>51</v>
      </c>
      <c r="AU68" s="16"/>
      <c r="AV68" s="16">
        <v>45</v>
      </c>
      <c r="AW68" s="16"/>
      <c r="AX68" s="16">
        <v>45</v>
      </c>
      <c r="AY68" s="16"/>
      <c r="AZ68" s="16">
        <v>50</v>
      </c>
      <c r="BA68" s="16"/>
      <c r="BB68" s="16">
        <v>49</v>
      </c>
      <c r="BC68" s="16"/>
      <c r="BD68" s="16">
        <v>48</v>
      </c>
      <c r="BE68" s="16"/>
      <c r="BF68" s="16">
        <v>11</v>
      </c>
      <c r="BG68" s="16">
        <v>5</v>
      </c>
      <c r="BH68" s="16">
        <v>16</v>
      </c>
      <c r="BI68" s="16">
        <v>8</v>
      </c>
      <c r="BJ68" s="16">
        <v>8</v>
      </c>
      <c r="BK68" s="16">
        <v>16</v>
      </c>
      <c r="BL68" s="16">
        <v>5</v>
      </c>
      <c r="BM68" s="16">
        <v>8</v>
      </c>
      <c r="BN68" s="16">
        <v>8</v>
      </c>
      <c r="BO68" s="16">
        <v>6</v>
      </c>
      <c r="BP68" s="16">
        <v>5</v>
      </c>
      <c r="BQ68" s="16">
        <v>32</v>
      </c>
      <c r="BR68" s="16">
        <v>3</v>
      </c>
      <c r="BS68" s="16">
        <v>4</v>
      </c>
      <c r="BT68" s="16">
        <v>73</v>
      </c>
      <c r="BU68" s="16">
        <v>102</v>
      </c>
      <c r="BV68" s="16">
        <v>175</v>
      </c>
      <c r="BW68" s="16">
        <v>30</v>
      </c>
      <c r="BX68" s="16">
        <v>2</v>
      </c>
      <c r="BY68" s="16">
        <v>27</v>
      </c>
      <c r="BZ68" s="16">
        <v>307</v>
      </c>
      <c r="CA68" s="19">
        <v>3</v>
      </c>
      <c r="CB68" s="19">
        <v>4</v>
      </c>
      <c r="CC68" s="19">
        <v>4</v>
      </c>
      <c r="CD68" s="19">
        <v>39</v>
      </c>
      <c r="CE68" s="19">
        <v>113</v>
      </c>
      <c r="CF68" s="19">
        <v>152</v>
      </c>
      <c r="CG68" s="19">
        <v>8</v>
      </c>
      <c r="CH68" s="19">
        <v>8</v>
      </c>
      <c r="CI68" s="19">
        <v>16</v>
      </c>
      <c r="CJ68" s="19">
        <v>0</v>
      </c>
      <c r="CK68" s="19">
        <v>65</v>
      </c>
      <c r="CL68" s="19">
        <v>61</v>
      </c>
      <c r="CM68" s="19">
        <v>93.85</v>
      </c>
      <c r="CN68" s="19">
        <v>29</v>
      </c>
      <c r="CO68" s="19">
        <v>43</v>
      </c>
      <c r="CP68" s="19">
        <v>72</v>
      </c>
      <c r="CQ68" s="19">
        <v>5</v>
      </c>
      <c r="CR68" s="19">
        <v>6</v>
      </c>
      <c r="CS68" s="19">
        <v>2</v>
      </c>
      <c r="CT68" s="19">
        <v>28</v>
      </c>
      <c r="CU68" s="19">
        <v>28</v>
      </c>
      <c r="CV68" s="19">
        <v>100</v>
      </c>
      <c r="CW68" s="19">
        <f t="shared" si="5"/>
        <v>22</v>
      </c>
      <c r="CX68" s="19">
        <f t="shared" si="6"/>
        <v>4</v>
      </c>
      <c r="CY68" s="19">
        <f t="shared" si="7"/>
        <v>4</v>
      </c>
      <c r="CZ68" s="19">
        <f t="shared" si="8"/>
        <v>0</v>
      </c>
    </row>
    <row r="69" spans="1:104" ht="15.75" customHeight="1" x14ac:dyDescent="0.35">
      <c r="A69" s="15" t="s">
        <v>182</v>
      </c>
      <c r="B69" s="16">
        <v>1</v>
      </c>
      <c r="C69" s="15" t="s">
        <v>109</v>
      </c>
      <c r="D69" s="16">
        <v>6</v>
      </c>
      <c r="E69" s="15">
        <v>1</v>
      </c>
      <c r="F69" s="15" t="s">
        <v>177</v>
      </c>
      <c r="G69" s="15" t="s">
        <v>107</v>
      </c>
      <c r="H69" s="15">
        <v>2</v>
      </c>
      <c r="I69" s="15">
        <v>2</v>
      </c>
      <c r="J69" s="17"/>
      <c r="K69" s="16">
        <v>5</v>
      </c>
      <c r="L69" s="16">
        <v>3</v>
      </c>
      <c r="M69" s="16">
        <v>119</v>
      </c>
      <c r="N69" s="16">
        <v>133</v>
      </c>
      <c r="O69" s="16">
        <v>252</v>
      </c>
      <c r="P69" s="16">
        <v>26</v>
      </c>
      <c r="Q69" s="16">
        <v>5</v>
      </c>
      <c r="R69" s="16">
        <v>18</v>
      </c>
      <c r="S69" s="16">
        <v>530</v>
      </c>
      <c r="T69" s="19">
        <v>1</v>
      </c>
      <c r="U69" s="19">
        <v>2</v>
      </c>
      <c r="V69" s="19">
        <v>0</v>
      </c>
      <c r="W69" s="19">
        <v>51</v>
      </c>
      <c r="X69" s="19">
        <v>396</v>
      </c>
      <c r="Y69" s="19">
        <v>447</v>
      </c>
      <c r="Z69" s="19">
        <v>8</v>
      </c>
      <c r="AA69" s="19">
        <v>8</v>
      </c>
      <c r="AB69" s="19">
        <v>16</v>
      </c>
      <c r="AC69" s="19">
        <v>0</v>
      </c>
      <c r="AD69" s="19">
        <v>75</v>
      </c>
      <c r="AE69" s="19">
        <v>61</v>
      </c>
      <c r="AF69" s="19">
        <v>81.33</v>
      </c>
      <c r="AG69" s="20">
        <v>32855</v>
      </c>
      <c r="AH69" s="20">
        <v>-32725</v>
      </c>
      <c r="AI69" s="19">
        <v>130</v>
      </c>
      <c r="AJ69" s="19">
        <v>5</v>
      </c>
      <c r="AK69" s="19">
        <v>6</v>
      </c>
      <c r="AL69" s="19">
        <v>2</v>
      </c>
      <c r="AM69" s="19">
        <v>28</v>
      </c>
      <c r="AN69" s="19">
        <v>28</v>
      </c>
      <c r="AO69" s="19">
        <v>100</v>
      </c>
      <c r="AP69" s="16">
        <v>27</v>
      </c>
      <c r="AQ69" s="16"/>
      <c r="AR69" s="16">
        <v>38</v>
      </c>
      <c r="AS69" s="16"/>
      <c r="AT69" s="16">
        <v>44</v>
      </c>
      <c r="AU69" s="16"/>
      <c r="AV69" s="16">
        <v>47</v>
      </c>
      <c r="AW69" s="16"/>
      <c r="AX69" s="16">
        <v>40</v>
      </c>
      <c r="AY69" s="16"/>
      <c r="AZ69" s="16">
        <v>56</v>
      </c>
      <c r="BA69" s="16"/>
      <c r="BB69" s="16">
        <v>43</v>
      </c>
      <c r="BC69" s="16"/>
      <c r="BD69" s="16">
        <v>44</v>
      </c>
      <c r="BE69" s="16"/>
      <c r="BF69" s="16">
        <v>8</v>
      </c>
      <c r="BG69" s="16">
        <v>5</v>
      </c>
      <c r="BH69" s="16">
        <v>13</v>
      </c>
      <c r="BI69" s="16">
        <v>8</v>
      </c>
      <c r="BJ69" s="16">
        <v>8</v>
      </c>
      <c r="BK69" s="16">
        <v>16</v>
      </c>
      <c r="BL69" s="16">
        <v>4</v>
      </c>
      <c r="BM69" s="16">
        <v>8</v>
      </c>
      <c r="BN69" s="16">
        <v>8</v>
      </c>
      <c r="BO69" s="16">
        <v>8</v>
      </c>
      <c r="BP69" s="16">
        <v>5</v>
      </c>
      <c r="BQ69" s="16">
        <v>33</v>
      </c>
      <c r="BR69" s="16">
        <v>4</v>
      </c>
      <c r="BS69" s="16">
        <v>0</v>
      </c>
      <c r="BT69" s="16">
        <v>109</v>
      </c>
      <c r="BU69" s="16">
        <v>168</v>
      </c>
      <c r="BV69" s="16">
        <v>277</v>
      </c>
      <c r="BW69" s="16">
        <v>33</v>
      </c>
      <c r="BX69" s="16">
        <v>1</v>
      </c>
      <c r="BY69" s="16">
        <v>20</v>
      </c>
      <c r="BZ69" s="16">
        <v>373</v>
      </c>
      <c r="CA69" s="19">
        <v>3</v>
      </c>
      <c r="CB69" s="19">
        <v>4</v>
      </c>
      <c r="CC69" s="19">
        <v>2</v>
      </c>
      <c r="CD69" s="19">
        <v>58</v>
      </c>
      <c r="CE69" s="19">
        <v>171</v>
      </c>
      <c r="CF69" s="19">
        <v>229</v>
      </c>
      <c r="CG69" s="19">
        <v>8</v>
      </c>
      <c r="CH69" s="19">
        <v>8</v>
      </c>
      <c r="CI69" s="19">
        <v>16</v>
      </c>
      <c r="CJ69" s="19">
        <v>0</v>
      </c>
      <c r="CK69" s="19">
        <v>65</v>
      </c>
      <c r="CL69" s="19">
        <v>61</v>
      </c>
      <c r="CM69" s="19">
        <v>93.85</v>
      </c>
      <c r="CN69" s="19">
        <v>3</v>
      </c>
      <c r="CO69" s="19">
        <v>13</v>
      </c>
      <c r="CP69" s="19">
        <v>16</v>
      </c>
      <c r="CQ69" s="19">
        <v>3</v>
      </c>
      <c r="CR69" s="19">
        <v>2</v>
      </c>
      <c r="CS69" s="19">
        <v>2</v>
      </c>
      <c r="CT69" s="19">
        <v>0</v>
      </c>
      <c r="CU69" s="19">
        <v>8</v>
      </c>
      <c r="CV69" s="19">
        <v>100</v>
      </c>
      <c r="CW69" s="19">
        <f t="shared" si="5"/>
        <v>14</v>
      </c>
      <c r="CX69" s="19">
        <f t="shared" si="6"/>
        <v>4</v>
      </c>
      <c r="CY69" s="19">
        <f t="shared" si="7"/>
        <v>0</v>
      </c>
      <c r="CZ69" s="37">
        <f t="shared" si="8"/>
        <v>-8</v>
      </c>
    </row>
    <row r="70" spans="1:104" ht="15.75" customHeight="1" x14ac:dyDescent="0.35">
      <c r="A70" s="15" t="s">
        <v>183</v>
      </c>
      <c r="B70" s="16">
        <v>1</v>
      </c>
      <c r="C70" s="15" t="s">
        <v>109</v>
      </c>
      <c r="D70" s="16">
        <v>6</v>
      </c>
      <c r="E70" s="15">
        <v>1</v>
      </c>
      <c r="F70" s="15" t="s">
        <v>177</v>
      </c>
      <c r="G70" s="15" t="s">
        <v>107</v>
      </c>
      <c r="H70" s="15">
        <v>2</v>
      </c>
      <c r="I70" s="15">
        <v>2</v>
      </c>
      <c r="J70" s="17"/>
      <c r="K70" s="16">
        <v>4</v>
      </c>
      <c r="L70" s="16">
        <v>3</v>
      </c>
      <c r="M70" s="16">
        <v>56</v>
      </c>
      <c r="N70" s="16">
        <v>132</v>
      </c>
      <c r="O70" s="16">
        <v>188</v>
      </c>
      <c r="P70" s="16">
        <v>24</v>
      </c>
      <c r="Q70" s="16">
        <v>3</v>
      </c>
      <c r="R70" s="16">
        <v>19</v>
      </c>
      <c r="S70" s="16">
        <v>309</v>
      </c>
      <c r="T70" s="19">
        <v>1</v>
      </c>
      <c r="U70" s="19">
        <v>2</v>
      </c>
      <c r="V70" s="19">
        <v>0</v>
      </c>
      <c r="W70" s="19">
        <v>51</v>
      </c>
      <c r="X70" s="19">
        <v>259</v>
      </c>
      <c r="Y70" s="19">
        <v>310</v>
      </c>
      <c r="Z70" s="19">
        <v>8</v>
      </c>
      <c r="AA70" s="19">
        <v>8</v>
      </c>
      <c r="AB70" s="19">
        <v>16</v>
      </c>
      <c r="AC70" s="19">
        <v>0</v>
      </c>
      <c r="AD70" s="19">
        <v>89</v>
      </c>
      <c r="AE70" s="19">
        <v>61</v>
      </c>
      <c r="AF70" s="19">
        <v>68.540000000000006</v>
      </c>
      <c r="AG70" s="19">
        <v>12</v>
      </c>
      <c r="AH70" s="19">
        <v>50</v>
      </c>
      <c r="AI70" s="19">
        <v>62</v>
      </c>
      <c r="AJ70" s="19">
        <v>7</v>
      </c>
      <c r="AK70" s="19">
        <v>4</v>
      </c>
      <c r="AL70" s="19">
        <v>4</v>
      </c>
      <c r="AM70" s="19">
        <v>26</v>
      </c>
      <c r="AN70" s="19">
        <v>26</v>
      </c>
      <c r="AO70" s="19">
        <v>100</v>
      </c>
      <c r="AP70" s="16">
        <v>24</v>
      </c>
      <c r="AQ70" s="16"/>
      <c r="AR70" s="16">
        <v>36</v>
      </c>
      <c r="AS70" s="16"/>
      <c r="AT70" s="16">
        <v>48</v>
      </c>
      <c r="AU70" s="16"/>
      <c r="AV70" s="16">
        <v>45</v>
      </c>
      <c r="AW70" s="16"/>
      <c r="AX70" s="16">
        <v>41</v>
      </c>
      <c r="AY70" s="16"/>
      <c r="AZ70" s="16">
        <v>54</v>
      </c>
      <c r="BA70" s="16"/>
      <c r="BB70" s="16">
        <v>56</v>
      </c>
      <c r="BC70" s="16"/>
      <c r="BD70" s="16">
        <v>55</v>
      </c>
      <c r="BE70" s="16"/>
      <c r="BF70" s="16">
        <v>8</v>
      </c>
      <c r="BG70" s="16">
        <v>5</v>
      </c>
      <c r="BH70" s="16">
        <v>13</v>
      </c>
      <c r="BI70" s="16">
        <v>8</v>
      </c>
      <c r="BJ70" s="16">
        <v>8</v>
      </c>
      <c r="BK70" s="16">
        <v>16</v>
      </c>
      <c r="BL70" s="16">
        <v>4</v>
      </c>
      <c r="BM70" s="16">
        <v>8</v>
      </c>
      <c r="BN70" s="16">
        <v>8</v>
      </c>
      <c r="BO70" s="16">
        <v>6</v>
      </c>
      <c r="BP70" s="16">
        <v>5</v>
      </c>
      <c r="BQ70" s="16">
        <v>31</v>
      </c>
      <c r="BR70" s="16">
        <v>4</v>
      </c>
      <c r="BS70" s="16">
        <v>3</v>
      </c>
      <c r="BT70" s="16">
        <v>69</v>
      </c>
      <c r="BU70" s="16">
        <v>136</v>
      </c>
      <c r="BV70" s="16">
        <v>205</v>
      </c>
      <c r="BW70" s="16">
        <v>30</v>
      </c>
      <c r="BX70" s="16">
        <v>1</v>
      </c>
      <c r="BY70" s="16">
        <v>22</v>
      </c>
      <c r="BZ70" s="16">
        <v>270</v>
      </c>
      <c r="CA70" s="19">
        <v>3</v>
      </c>
      <c r="CB70" s="19">
        <v>4</v>
      </c>
      <c r="CC70" s="19">
        <v>4</v>
      </c>
      <c r="CD70" s="19">
        <v>25</v>
      </c>
      <c r="CE70" s="19">
        <v>84</v>
      </c>
      <c r="CF70" s="19">
        <v>109</v>
      </c>
      <c r="CG70" s="19">
        <v>8</v>
      </c>
      <c r="CH70" s="19">
        <v>8</v>
      </c>
      <c r="CI70" s="19">
        <v>16</v>
      </c>
      <c r="CJ70" s="19">
        <v>0</v>
      </c>
      <c r="CK70" s="19">
        <v>69</v>
      </c>
      <c r="CL70" s="19">
        <v>61</v>
      </c>
      <c r="CM70" s="19">
        <v>88.41</v>
      </c>
      <c r="CN70" s="19">
        <v>7</v>
      </c>
      <c r="CO70" s="19">
        <v>32</v>
      </c>
      <c r="CP70" s="19">
        <v>39</v>
      </c>
      <c r="CQ70" s="19">
        <v>7</v>
      </c>
      <c r="CR70" s="19">
        <v>4</v>
      </c>
      <c r="CS70" s="19">
        <v>4</v>
      </c>
      <c r="CT70" s="19">
        <v>26</v>
      </c>
      <c r="CU70" s="19">
        <v>26</v>
      </c>
      <c r="CV70" s="19">
        <v>100</v>
      </c>
      <c r="CW70" s="19">
        <f t="shared" si="5"/>
        <v>28</v>
      </c>
      <c r="CX70" s="19">
        <f t="shared" si="6"/>
        <v>8</v>
      </c>
      <c r="CY70" s="19">
        <f t="shared" si="7"/>
        <v>0</v>
      </c>
      <c r="CZ70" s="19">
        <f t="shared" si="8"/>
        <v>0</v>
      </c>
    </row>
    <row r="71" spans="1:104" ht="15.75" customHeight="1" x14ac:dyDescent="0.35">
      <c r="A71" s="15" t="s">
        <v>184</v>
      </c>
      <c r="B71" s="16">
        <v>1</v>
      </c>
      <c r="C71" s="15" t="s">
        <v>109</v>
      </c>
      <c r="D71" s="16">
        <v>6</v>
      </c>
      <c r="E71" s="15">
        <v>1</v>
      </c>
      <c r="F71" s="15" t="s">
        <v>177</v>
      </c>
      <c r="G71" s="15" t="s">
        <v>143</v>
      </c>
      <c r="H71" s="15">
        <v>2</v>
      </c>
      <c r="I71" s="15">
        <v>2</v>
      </c>
      <c r="J71" s="17"/>
      <c r="K71" s="16">
        <v>4</v>
      </c>
      <c r="L71" s="16">
        <v>4</v>
      </c>
      <c r="M71" s="16">
        <v>56</v>
      </c>
      <c r="N71" s="16">
        <v>128</v>
      </c>
      <c r="O71" s="16">
        <v>184</v>
      </c>
      <c r="P71" s="16">
        <v>23</v>
      </c>
      <c r="Q71" s="16">
        <v>12</v>
      </c>
      <c r="R71" s="16">
        <v>23</v>
      </c>
      <c r="S71" s="16">
        <v>378</v>
      </c>
      <c r="T71" s="19">
        <v>3</v>
      </c>
      <c r="U71" s="19">
        <v>5</v>
      </c>
      <c r="V71" s="19">
        <v>3</v>
      </c>
      <c r="W71" s="19">
        <v>116</v>
      </c>
      <c r="X71" s="19">
        <v>245</v>
      </c>
      <c r="Y71" s="19">
        <v>361</v>
      </c>
      <c r="Z71" s="19">
        <v>8</v>
      </c>
      <c r="AA71" s="19">
        <v>11</v>
      </c>
      <c r="AB71" s="19">
        <v>13</v>
      </c>
      <c r="AC71" s="19">
        <v>3</v>
      </c>
      <c r="AD71" s="19">
        <v>63</v>
      </c>
      <c r="AE71" s="19">
        <v>59</v>
      </c>
      <c r="AF71" s="19">
        <v>93.65</v>
      </c>
      <c r="AG71" s="19">
        <v>8</v>
      </c>
      <c r="AH71" s="19">
        <v>50</v>
      </c>
      <c r="AI71" s="19">
        <v>58</v>
      </c>
      <c r="AJ71" s="19">
        <v>3</v>
      </c>
      <c r="AK71" s="19">
        <v>2</v>
      </c>
      <c r="AL71" s="19">
        <v>2</v>
      </c>
      <c r="AM71" s="19">
        <v>10</v>
      </c>
      <c r="AN71" s="19">
        <v>8</v>
      </c>
      <c r="AO71" s="19">
        <v>80</v>
      </c>
      <c r="AP71" s="16">
        <v>21</v>
      </c>
      <c r="AQ71" s="16"/>
      <c r="AR71" s="16">
        <v>33</v>
      </c>
      <c r="AS71" s="16"/>
      <c r="AT71" s="16">
        <v>31</v>
      </c>
      <c r="AU71" s="16"/>
      <c r="AV71" s="16">
        <v>19</v>
      </c>
      <c r="AW71" s="16"/>
      <c r="AX71" s="16">
        <v>30</v>
      </c>
      <c r="AY71" s="16"/>
      <c r="AZ71" s="16">
        <v>38</v>
      </c>
      <c r="BA71" s="16"/>
      <c r="BB71" s="16">
        <v>36</v>
      </c>
      <c r="BC71" s="16"/>
      <c r="BD71" s="16">
        <v>33</v>
      </c>
      <c r="BE71" s="16"/>
      <c r="BF71" s="16">
        <v>21</v>
      </c>
      <c r="BG71" s="16">
        <v>12</v>
      </c>
      <c r="BH71" s="16">
        <v>33</v>
      </c>
      <c r="BI71" s="16">
        <v>15</v>
      </c>
      <c r="BJ71" s="16">
        <v>21</v>
      </c>
      <c r="BK71" s="16">
        <v>36</v>
      </c>
      <c r="BL71" s="16">
        <v>8</v>
      </c>
      <c r="BM71" s="16">
        <v>11</v>
      </c>
      <c r="BN71" s="16">
        <v>13</v>
      </c>
      <c r="BO71" s="16">
        <v>9</v>
      </c>
      <c r="BP71" s="16">
        <v>8</v>
      </c>
      <c r="BQ71" s="16">
        <v>49</v>
      </c>
      <c r="BR71" s="16">
        <v>4</v>
      </c>
      <c r="BS71" s="16">
        <v>3</v>
      </c>
      <c r="BT71" s="16">
        <v>76</v>
      </c>
      <c r="BU71" s="16">
        <v>121</v>
      </c>
      <c r="BV71" s="16">
        <v>197</v>
      </c>
      <c r="BW71" s="16">
        <v>27</v>
      </c>
      <c r="BX71" s="16">
        <v>4</v>
      </c>
      <c r="BY71" s="16">
        <v>28</v>
      </c>
      <c r="BZ71" s="16">
        <v>300</v>
      </c>
      <c r="CA71" s="19">
        <v>2</v>
      </c>
      <c r="CB71" s="19">
        <v>3</v>
      </c>
      <c r="CC71" s="19">
        <v>2</v>
      </c>
      <c r="CD71" s="19">
        <v>52</v>
      </c>
      <c r="CE71" s="19">
        <v>93</v>
      </c>
      <c r="CF71" s="19">
        <v>145</v>
      </c>
      <c r="CG71" s="19">
        <v>8</v>
      </c>
      <c r="CH71" s="19">
        <v>9</v>
      </c>
      <c r="CI71" s="19">
        <v>15</v>
      </c>
      <c r="CJ71" s="19">
        <v>1</v>
      </c>
      <c r="CK71" s="19">
        <v>71</v>
      </c>
      <c r="CL71" s="19">
        <v>63</v>
      </c>
      <c r="CM71" s="19">
        <v>88.73</v>
      </c>
      <c r="CN71" s="19">
        <v>0</v>
      </c>
      <c r="CO71" s="19">
        <v>0</v>
      </c>
      <c r="CP71" s="19">
        <v>0</v>
      </c>
      <c r="CQ71" s="19">
        <v>2</v>
      </c>
      <c r="CR71" s="19">
        <v>0</v>
      </c>
      <c r="CS71" s="19">
        <v>2</v>
      </c>
      <c r="CT71" s="19">
        <v>0</v>
      </c>
      <c r="CU71" s="19">
        <v>0</v>
      </c>
      <c r="CV71" s="19">
        <v>100</v>
      </c>
      <c r="CW71" s="19">
        <f t="shared" si="5"/>
        <v>4</v>
      </c>
      <c r="CX71" s="19">
        <f t="shared" si="6"/>
        <v>8</v>
      </c>
      <c r="CY71" s="19">
        <f t="shared" si="7"/>
        <v>2</v>
      </c>
      <c r="CZ71" s="19">
        <f t="shared" si="8"/>
        <v>0</v>
      </c>
    </row>
    <row r="72" spans="1:104" ht="15.75" customHeight="1" x14ac:dyDescent="0.35">
      <c r="A72" s="15" t="s">
        <v>185</v>
      </c>
      <c r="B72" s="16">
        <v>1</v>
      </c>
      <c r="C72" s="15" t="s">
        <v>105</v>
      </c>
      <c r="D72" s="16">
        <v>6</v>
      </c>
      <c r="E72" s="15">
        <v>1</v>
      </c>
      <c r="F72" s="15" t="s">
        <v>177</v>
      </c>
      <c r="G72" s="15" t="s">
        <v>107</v>
      </c>
      <c r="H72" s="15">
        <v>2</v>
      </c>
      <c r="I72" s="15">
        <v>2</v>
      </c>
      <c r="J72" s="17"/>
      <c r="K72" s="16">
        <v>4</v>
      </c>
      <c r="L72" s="16">
        <v>3</v>
      </c>
      <c r="M72" s="16">
        <v>48</v>
      </c>
      <c r="N72" s="16">
        <v>109</v>
      </c>
      <c r="O72" s="16">
        <v>157</v>
      </c>
      <c r="P72" s="16">
        <v>22</v>
      </c>
      <c r="Q72" s="16">
        <v>1</v>
      </c>
      <c r="R72" s="16">
        <v>19</v>
      </c>
      <c r="S72" s="16">
        <v>428</v>
      </c>
      <c r="T72" s="19">
        <v>2</v>
      </c>
      <c r="U72" s="19">
        <v>3</v>
      </c>
      <c r="V72" s="19">
        <v>2</v>
      </c>
      <c r="W72" s="19">
        <v>93</v>
      </c>
      <c r="X72" s="19">
        <v>313</v>
      </c>
      <c r="Y72" s="19">
        <v>406</v>
      </c>
      <c r="Z72" s="19">
        <v>8</v>
      </c>
      <c r="AA72" s="19">
        <v>8</v>
      </c>
      <c r="AB72" s="19">
        <v>16</v>
      </c>
      <c r="AC72" s="19">
        <v>0</v>
      </c>
      <c r="AD72" s="19">
        <v>73</v>
      </c>
      <c r="AE72" s="19">
        <v>61</v>
      </c>
      <c r="AF72" s="19">
        <v>83.56</v>
      </c>
      <c r="AG72" s="19">
        <v>19</v>
      </c>
      <c r="AH72" s="19">
        <v>119</v>
      </c>
      <c r="AI72" s="19">
        <v>138</v>
      </c>
      <c r="AJ72" s="19">
        <v>8</v>
      </c>
      <c r="AK72" s="19">
        <v>9</v>
      </c>
      <c r="AL72" s="19">
        <v>3</v>
      </c>
      <c r="AM72" s="19">
        <v>55</v>
      </c>
      <c r="AN72" s="19">
        <v>43</v>
      </c>
      <c r="AO72" s="19">
        <v>78.180000000000007</v>
      </c>
      <c r="AP72" s="16">
        <v>24</v>
      </c>
      <c r="AQ72" s="16"/>
      <c r="AR72" s="16">
        <v>39</v>
      </c>
      <c r="AS72" s="16"/>
      <c r="AT72" s="16">
        <v>45</v>
      </c>
      <c r="AU72" s="16"/>
      <c r="AV72" s="16">
        <v>48</v>
      </c>
      <c r="AW72" s="16"/>
      <c r="AX72" s="16">
        <v>45</v>
      </c>
      <c r="AY72" s="16"/>
      <c r="AZ72" s="16">
        <v>57</v>
      </c>
      <c r="BA72" s="16"/>
      <c r="BB72" s="16">
        <v>63</v>
      </c>
      <c r="BC72" s="16"/>
      <c r="BD72" s="16">
        <v>59</v>
      </c>
      <c r="BE72" s="16"/>
      <c r="BF72" s="16">
        <v>8</v>
      </c>
      <c r="BG72" s="16">
        <v>5</v>
      </c>
      <c r="BH72" s="16">
        <v>13</v>
      </c>
      <c r="BI72" s="16">
        <v>8</v>
      </c>
      <c r="BJ72" s="16">
        <v>8</v>
      </c>
      <c r="BK72" s="16">
        <v>16</v>
      </c>
      <c r="BL72" s="16">
        <v>4</v>
      </c>
      <c r="BM72" s="16">
        <v>8</v>
      </c>
      <c r="BN72" s="16">
        <v>8</v>
      </c>
      <c r="BO72" s="16">
        <v>6</v>
      </c>
      <c r="BP72" s="16">
        <v>5</v>
      </c>
      <c r="BQ72" s="16">
        <v>31</v>
      </c>
      <c r="BR72" s="16">
        <v>4</v>
      </c>
      <c r="BS72" s="16">
        <v>3</v>
      </c>
      <c r="BT72" s="16">
        <v>75</v>
      </c>
      <c r="BU72" s="16">
        <v>91</v>
      </c>
      <c r="BV72" s="16">
        <v>166</v>
      </c>
      <c r="BW72" s="16">
        <v>27</v>
      </c>
      <c r="BX72" s="16">
        <v>0</v>
      </c>
      <c r="BY72" s="16">
        <v>21</v>
      </c>
      <c r="BZ72" s="16">
        <v>310</v>
      </c>
      <c r="CA72" s="19">
        <v>3</v>
      </c>
      <c r="CB72" s="19">
        <v>4</v>
      </c>
      <c r="CC72" s="19">
        <v>2</v>
      </c>
      <c r="CD72" s="19">
        <v>37</v>
      </c>
      <c r="CE72" s="19">
        <v>122</v>
      </c>
      <c r="CF72" s="19">
        <v>159</v>
      </c>
      <c r="CG72" s="19">
        <v>8</v>
      </c>
      <c r="CH72" s="19">
        <v>8</v>
      </c>
      <c r="CI72" s="19">
        <v>16</v>
      </c>
      <c r="CJ72" s="19">
        <v>0</v>
      </c>
      <c r="CK72" s="19">
        <v>63</v>
      </c>
      <c r="CL72" s="19">
        <v>61</v>
      </c>
      <c r="CM72" s="19">
        <v>96.83</v>
      </c>
      <c r="CN72" s="19">
        <v>3</v>
      </c>
      <c r="CO72" s="19">
        <v>13</v>
      </c>
      <c r="CP72" s="19">
        <v>16</v>
      </c>
      <c r="CQ72" s="19">
        <v>3</v>
      </c>
      <c r="CR72" s="19">
        <v>2</v>
      </c>
      <c r="CS72" s="19">
        <v>2</v>
      </c>
      <c r="CT72" s="19">
        <v>8</v>
      </c>
      <c r="CU72" s="19">
        <v>8</v>
      </c>
      <c r="CV72" s="19">
        <v>100</v>
      </c>
      <c r="CW72" s="19">
        <f t="shared" si="5"/>
        <v>12</v>
      </c>
      <c r="CX72" s="19">
        <f t="shared" si="6"/>
        <v>2</v>
      </c>
      <c r="CY72" s="19">
        <f t="shared" si="7"/>
        <v>12</v>
      </c>
      <c r="CZ72" s="19">
        <f t="shared" si="8"/>
        <v>0</v>
      </c>
    </row>
    <row r="73" spans="1:104" ht="15.75" customHeight="1" x14ac:dyDescent="0.35">
      <c r="A73" s="15" t="s">
        <v>186</v>
      </c>
      <c r="B73" s="16">
        <v>1</v>
      </c>
      <c r="C73" s="15" t="s">
        <v>105</v>
      </c>
      <c r="D73" s="16">
        <v>6</v>
      </c>
      <c r="E73" s="15">
        <v>1</v>
      </c>
      <c r="F73" s="15" t="s">
        <v>177</v>
      </c>
      <c r="G73" s="15" t="s">
        <v>107</v>
      </c>
      <c r="H73" s="15">
        <v>2</v>
      </c>
      <c r="I73" s="15">
        <v>2</v>
      </c>
      <c r="J73" s="17"/>
      <c r="K73" s="16">
        <v>4</v>
      </c>
      <c r="L73" s="16">
        <v>0</v>
      </c>
      <c r="M73" s="16">
        <v>208</v>
      </c>
      <c r="N73" s="16">
        <v>191</v>
      </c>
      <c r="O73" s="16">
        <v>399</v>
      </c>
      <c r="P73" s="16">
        <v>27</v>
      </c>
      <c r="Q73" s="16">
        <v>2</v>
      </c>
      <c r="R73" s="16">
        <v>15</v>
      </c>
      <c r="S73" s="16">
        <v>312</v>
      </c>
      <c r="T73" s="19">
        <v>3</v>
      </c>
      <c r="U73" s="19">
        <v>5</v>
      </c>
      <c r="V73" s="19">
        <v>1</v>
      </c>
      <c r="W73" s="19">
        <v>39</v>
      </c>
      <c r="X73" s="19">
        <v>296</v>
      </c>
      <c r="Y73" s="19">
        <v>335</v>
      </c>
      <c r="Z73" s="19">
        <v>8</v>
      </c>
      <c r="AA73" s="19">
        <v>8</v>
      </c>
      <c r="AB73" s="19">
        <v>16</v>
      </c>
      <c r="AC73" s="19">
        <v>0</v>
      </c>
      <c r="AD73" s="19">
        <v>85</v>
      </c>
      <c r="AE73" s="19">
        <v>61</v>
      </c>
      <c r="AF73" s="19">
        <v>71.760000000000005</v>
      </c>
      <c r="AG73" s="19">
        <v>22</v>
      </c>
      <c r="AH73" s="19">
        <v>80</v>
      </c>
      <c r="AI73" s="19">
        <v>102</v>
      </c>
      <c r="AJ73" s="19">
        <v>6</v>
      </c>
      <c r="AK73" s="19">
        <v>5</v>
      </c>
      <c r="AL73" s="19">
        <v>3</v>
      </c>
      <c r="AM73" s="19">
        <v>28</v>
      </c>
      <c r="AN73" s="19">
        <v>28</v>
      </c>
      <c r="AO73" s="19">
        <v>100</v>
      </c>
      <c r="AP73" s="16">
        <v>27</v>
      </c>
      <c r="AQ73" s="16"/>
      <c r="AR73" s="16">
        <v>34</v>
      </c>
      <c r="AS73" s="16"/>
      <c r="AT73" s="16">
        <v>49</v>
      </c>
      <c r="AU73" s="16"/>
      <c r="AV73" s="16">
        <v>46</v>
      </c>
      <c r="AW73" s="16"/>
      <c r="AX73" s="16">
        <v>42</v>
      </c>
      <c r="AY73" s="16"/>
      <c r="AZ73" s="16">
        <v>55</v>
      </c>
      <c r="BA73" s="16"/>
      <c r="BB73" s="16">
        <v>59</v>
      </c>
      <c r="BC73" s="16"/>
      <c r="BD73" s="16">
        <v>54</v>
      </c>
      <c r="BE73" s="16"/>
      <c r="BF73" s="16">
        <v>8</v>
      </c>
      <c r="BG73" s="16">
        <v>5</v>
      </c>
      <c r="BH73" s="16">
        <v>13</v>
      </c>
      <c r="BI73" s="16">
        <v>8</v>
      </c>
      <c r="BJ73" s="16">
        <v>8</v>
      </c>
      <c r="BK73" s="16">
        <v>16</v>
      </c>
      <c r="BL73" s="16">
        <v>4</v>
      </c>
      <c r="BM73" s="16">
        <v>8</v>
      </c>
      <c r="BN73" s="16">
        <v>8</v>
      </c>
      <c r="BO73" s="16">
        <v>6</v>
      </c>
      <c r="BP73" s="16">
        <v>5</v>
      </c>
      <c r="BQ73" s="16">
        <v>31</v>
      </c>
      <c r="BR73" s="16">
        <v>4</v>
      </c>
      <c r="BS73" s="16">
        <v>0</v>
      </c>
      <c r="BT73" s="16">
        <v>104</v>
      </c>
      <c r="BU73" s="16">
        <v>142</v>
      </c>
      <c r="BV73" s="16">
        <v>249</v>
      </c>
      <c r="BW73" s="16">
        <v>33</v>
      </c>
      <c r="BX73" s="16">
        <v>0</v>
      </c>
      <c r="BY73" s="16">
        <v>19</v>
      </c>
      <c r="BZ73" s="16">
        <v>334</v>
      </c>
      <c r="CA73" s="19">
        <v>0</v>
      </c>
      <c r="CB73" s="19">
        <v>2</v>
      </c>
      <c r="CC73" s="19">
        <v>0</v>
      </c>
      <c r="CD73" s="19">
        <v>59</v>
      </c>
      <c r="CE73" s="19">
        <v>255</v>
      </c>
      <c r="CF73" s="19">
        <v>314</v>
      </c>
      <c r="CG73" s="19">
        <v>8</v>
      </c>
      <c r="CH73" s="19">
        <v>11</v>
      </c>
      <c r="CI73" s="19">
        <v>12</v>
      </c>
      <c r="CJ73" s="19">
        <v>4</v>
      </c>
      <c r="CK73" s="19">
        <v>60</v>
      </c>
      <c r="CL73" s="19">
        <v>52</v>
      </c>
      <c r="CM73" s="19">
        <v>86.67</v>
      </c>
      <c r="CN73" s="19">
        <v>0</v>
      </c>
      <c r="CO73" s="19">
        <v>0</v>
      </c>
      <c r="CP73" s="19">
        <v>0</v>
      </c>
      <c r="CQ73" s="19">
        <v>2</v>
      </c>
      <c r="CR73" s="19">
        <v>0</v>
      </c>
      <c r="CS73" s="19">
        <v>2</v>
      </c>
      <c r="CT73" s="19">
        <v>0</v>
      </c>
      <c r="CU73" s="19">
        <v>0</v>
      </c>
      <c r="CV73" s="19">
        <v>90</v>
      </c>
      <c r="CW73" s="19">
        <f t="shared" si="5"/>
        <v>24</v>
      </c>
      <c r="CX73" s="19">
        <f t="shared" si="6"/>
        <v>8</v>
      </c>
      <c r="CY73" s="19">
        <f t="shared" si="7"/>
        <v>0</v>
      </c>
      <c r="CZ73" s="19">
        <f t="shared" si="8"/>
        <v>0</v>
      </c>
    </row>
    <row r="74" spans="1:104" ht="15.75" customHeight="1" x14ac:dyDescent="0.35">
      <c r="A74" s="15" t="s">
        <v>187</v>
      </c>
      <c r="B74" s="16">
        <v>2</v>
      </c>
      <c r="C74" s="15" t="s">
        <v>109</v>
      </c>
      <c r="D74" s="16">
        <v>6</v>
      </c>
      <c r="E74" s="15">
        <v>0</v>
      </c>
      <c r="F74" s="15" t="s">
        <v>188</v>
      </c>
      <c r="G74" s="15" t="s">
        <v>107</v>
      </c>
      <c r="H74" s="15">
        <v>2</v>
      </c>
      <c r="I74" s="34">
        <v>1</v>
      </c>
      <c r="J74" s="44" t="s">
        <v>189</v>
      </c>
      <c r="K74" s="16">
        <v>5</v>
      </c>
      <c r="L74" s="16">
        <v>3</v>
      </c>
      <c r="M74" s="16">
        <v>83</v>
      </c>
      <c r="N74" s="16">
        <v>133</v>
      </c>
      <c r="O74" s="16">
        <v>216</v>
      </c>
      <c r="P74" s="16">
        <v>22</v>
      </c>
      <c r="Q74" s="16">
        <v>5</v>
      </c>
      <c r="R74" s="16">
        <v>20</v>
      </c>
      <c r="S74" s="15">
        <v>300</v>
      </c>
      <c r="T74" s="40">
        <v>2</v>
      </c>
      <c r="U74" s="40">
        <v>4</v>
      </c>
      <c r="V74" s="40">
        <v>1</v>
      </c>
      <c r="W74" s="40">
        <v>73</v>
      </c>
      <c r="X74" s="40">
        <v>317</v>
      </c>
      <c r="Y74" s="40">
        <v>390</v>
      </c>
      <c r="Z74" s="40">
        <v>8</v>
      </c>
      <c r="AA74" s="40">
        <v>8</v>
      </c>
      <c r="AB74" s="40">
        <v>16</v>
      </c>
      <c r="AC74" s="40">
        <v>0</v>
      </c>
      <c r="AD74" s="40">
        <v>65</v>
      </c>
      <c r="AE74" s="40">
        <v>61</v>
      </c>
      <c r="AF74" s="40">
        <v>93.85</v>
      </c>
      <c r="AG74" s="40">
        <v>18</v>
      </c>
      <c r="AH74" s="40">
        <v>86</v>
      </c>
      <c r="AI74" s="40">
        <v>104</v>
      </c>
      <c r="AJ74" s="40">
        <v>6</v>
      </c>
      <c r="AK74" s="40">
        <v>8</v>
      </c>
      <c r="AL74" s="40">
        <v>2</v>
      </c>
      <c r="AM74" s="40">
        <v>36</v>
      </c>
      <c r="AN74" s="40">
        <v>36</v>
      </c>
      <c r="AO74" s="40">
        <v>100</v>
      </c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6">
        <v>4</v>
      </c>
      <c r="BS74" s="16">
        <v>3</v>
      </c>
      <c r="BT74" s="16">
        <v>74</v>
      </c>
      <c r="BU74" s="16">
        <v>149</v>
      </c>
      <c r="BV74" s="16">
        <v>223</v>
      </c>
      <c r="BW74" s="16"/>
      <c r="BX74" s="16">
        <v>0</v>
      </c>
      <c r="BY74" s="16">
        <v>19</v>
      </c>
      <c r="BZ74" s="15">
        <v>338</v>
      </c>
      <c r="CA74" s="40">
        <v>2</v>
      </c>
      <c r="CB74" s="40">
        <v>4</v>
      </c>
      <c r="CC74" s="40">
        <v>1</v>
      </c>
      <c r="CD74" s="40">
        <v>63</v>
      </c>
      <c r="CE74" s="40">
        <v>227</v>
      </c>
      <c r="CF74" s="40">
        <v>290</v>
      </c>
      <c r="CG74" s="40">
        <v>8</v>
      </c>
      <c r="CH74" s="40">
        <v>9</v>
      </c>
      <c r="CI74" s="40">
        <v>15</v>
      </c>
      <c r="CJ74" s="40">
        <v>1</v>
      </c>
      <c r="CK74" s="40">
        <v>84</v>
      </c>
      <c r="CL74" s="40">
        <v>60</v>
      </c>
      <c r="CM74" s="40">
        <v>71.430000000000007</v>
      </c>
      <c r="CN74" s="40">
        <v>70</v>
      </c>
      <c r="CO74" s="40">
        <v>46</v>
      </c>
      <c r="CP74" s="40">
        <v>116</v>
      </c>
      <c r="CQ74" s="40">
        <v>7</v>
      </c>
      <c r="CR74" s="40">
        <v>4</v>
      </c>
      <c r="CS74" s="40">
        <v>4</v>
      </c>
      <c r="CT74" s="40">
        <v>34</v>
      </c>
      <c r="CU74" s="40">
        <v>26</v>
      </c>
      <c r="CV74" s="40">
        <v>76.47</v>
      </c>
      <c r="CW74" s="19">
        <f t="shared" si="5"/>
        <v>4</v>
      </c>
      <c r="CX74" s="19">
        <f t="shared" si="6"/>
        <v>24</v>
      </c>
      <c r="CY74" s="19">
        <f t="shared" si="7"/>
        <v>0</v>
      </c>
      <c r="CZ74" s="19">
        <f t="shared" si="8"/>
        <v>8</v>
      </c>
    </row>
    <row r="75" spans="1:104" ht="15.75" customHeight="1" x14ac:dyDescent="0.35">
      <c r="A75" s="15" t="s">
        <v>190</v>
      </c>
      <c r="B75" s="16">
        <v>2</v>
      </c>
      <c r="C75" s="15" t="s">
        <v>109</v>
      </c>
      <c r="D75" s="16">
        <v>6</v>
      </c>
      <c r="E75" s="15">
        <v>0</v>
      </c>
      <c r="F75" s="15" t="s">
        <v>188</v>
      </c>
      <c r="G75" s="15" t="s">
        <v>107</v>
      </c>
      <c r="H75" s="15">
        <v>2</v>
      </c>
      <c r="I75" s="15">
        <v>1</v>
      </c>
      <c r="J75" s="17"/>
      <c r="K75" s="16">
        <v>0</v>
      </c>
      <c r="L75" s="16">
        <v>0</v>
      </c>
      <c r="M75" s="16">
        <v>89</v>
      </c>
      <c r="N75" s="16">
        <v>151</v>
      </c>
      <c r="O75" s="16">
        <v>240</v>
      </c>
      <c r="P75" s="16">
        <v>23</v>
      </c>
      <c r="Q75" s="16">
        <v>2</v>
      </c>
      <c r="R75" s="16">
        <v>15</v>
      </c>
      <c r="S75" s="15">
        <v>268</v>
      </c>
      <c r="T75" s="40">
        <v>1</v>
      </c>
      <c r="U75" s="40">
        <v>2</v>
      </c>
      <c r="V75" s="40">
        <v>0</v>
      </c>
      <c r="W75" s="40">
        <v>74</v>
      </c>
      <c r="X75" s="40">
        <v>345</v>
      </c>
      <c r="Y75" s="40">
        <v>419</v>
      </c>
      <c r="Z75" s="40">
        <v>8</v>
      </c>
      <c r="AA75" s="40">
        <v>8</v>
      </c>
      <c r="AB75" s="40">
        <v>16</v>
      </c>
      <c r="AC75" s="40">
        <v>0</v>
      </c>
      <c r="AD75" s="40">
        <v>77</v>
      </c>
      <c r="AE75" s="40">
        <v>61</v>
      </c>
      <c r="AF75" s="40">
        <v>79.22</v>
      </c>
      <c r="AG75" s="40">
        <v>21</v>
      </c>
      <c r="AH75" s="40">
        <v>222</v>
      </c>
      <c r="AI75" s="40">
        <v>243</v>
      </c>
      <c r="AJ75" s="40">
        <v>7</v>
      </c>
      <c r="AK75" s="40">
        <v>7</v>
      </c>
      <c r="AL75" s="40">
        <v>3</v>
      </c>
      <c r="AM75" s="40">
        <v>44</v>
      </c>
      <c r="AN75" s="40">
        <v>38</v>
      </c>
      <c r="AO75" s="40">
        <v>86.36</v>
      </c>
      <c r="AP75" s="16">
        <v>18</v>
      </c>
      <c r="AQ75" s="16"/>
      <c r="AR75" s="16">
        <v>19</v>
      </c>
      <c r="AS75" s="16"/>
      <c r="AT75" s="16">
        <v>39</v>
      </c>
      <c r="AU75" s="16"/>
      <c r="AV75" s="16">
        <v>38</v>
      </c>
      <c r="AW75" s="16"/>
      <c r="AX75" s="16">
        <v>45</v>
      </c>
      <c r="AY75" s="16"/>
      <c r="AZ75" s="16">
        <v>43</v>
      </c>
      <c r="BA75" s="16"/>
      <c r="BB75" s="16">
        <v>52</v>
      </c>
      <c r="BC75" s="16"/>
      <c r="BD75" s="16">
        <v>42</v>
      </c>
      <c r="BE75" s="16"/>
      <c r="BF75" s="16">
        <v>14</v>
      </c>
      <c r="BG75" s="16">
        <v>9</v>
      </c>
      <c r="BH75" s="16">
        <v>23</v>
      </c>
      <c r="BI75" s="16">
        <v>11</v>
      </c>
      <c r="BJ75" s="16">
        <v>15</v>
      </c>
      <c r="BK75" s="16">
        <v>26</v>
      </c>
      <c r="BL75" s="16">
        <v>4</v>
      </c>
      <c r="BM75" s="16">
        <v>9</v>
      </c>
      <c r="BN75" s="16">
        <v>10</v>
      </c>
      <c r="BO75" s="16">
        <v>11</v>
      </c>
      <c r="BP75" s="16">
        <v>6</v>
      </c>
      <c r="BQ75" s="16">
        <v>40</v>
      </c>
      <c r="BR75" s="16">
        <v>3</v>
      </c>
      <c r="BS75" s="16">
        <v>0</v>
      </c>
      <c r="BT75" s="16">
        <v>35</v>
      </c>
      <c r="BU75" s="16">
        <v>147</v>
      </c>
      <c r="BV75" s="16">
        <v>182</v>
      </c>
      <c r="BW75" s="16">
        <v>25</v>
      </c>
      <c r="BX75" s="16">
        <v>0</v>
      </c>
      <c r="BY75" s="16">
        <v>14</v>
      </c>
      <c r="BZ75" s="15">
        <v>288</v>
      </c>
      <c r="CA75" s="40">
        <v>1</v>
      </c>
      <c r="CB75" s="40">
        <v>1</v>
      </c>
      <c r="CC75" s="40">
        <v>0</v>
      </c>
      <c r="CD75" s="40">
        <v>64</v>
      </c>
      <c r="CE75" s="40">
        <v>319</v>
      </c>
      <c r="CF75" s="40">
        <v>383</v>
      </c>
      <c r="CG75" s="40">
        <v>8</v>
      </c>
      <c r="CH75" s="40">
        <v>8</v>
      </c>
      <c r="CI75" s="40">
        <v>16</v>
      </c>
      <c r="CJ75" s="40">
        <v>0</v>
      </c>
      <c r="CK75" s="40">
        <v>77</v>
      </c>
      <c r="CL75" s="40">
        <v>61</v>
      </c>
      <c r="CM75" s="40">
        <v>79.22</v>
      </c>
      <c r="CN75" s="40">
        <v>33</v>
      </c>
      <c r="CO75" s="40">
        <v>138</v>
      </c>
      <c r="CP75" s="40">
        <v>171</v>
      </c>
      <c r="CQ75" s="40">
        <v>9</v>
      </c>
      <c r="CR75" s="40">
        <v>8</v>
      </c>
      <c r="CS75" s="40">
        <v>4</v>
      </c>
      <c r="CT75" s="40">
        <v>51</v>
      </c>
      <c r="CU75" s="40">
        <v>47</v>
      </c>
      <c r="CV75" s="40">
        <v>92.16</v>
      </c>
      <c r="CW75" s="19">
        <f t="shared" si="5"/>
        <v>16</v>
      </c>
      <c r="CX75" s="19">
        <f t="shared" si="6"/>
        <v>16</v>
      </c>
      <c r="CY75" s="19">
        <f t="shared" si="7"/>
        <v>6</v>
      </c>
      <c r="CZ75" s="19">
        <f t="shared" si="8"/>
        <v>4</v>
      </c>
    </row>
    <row r="76" spans="1:104" ht="15.75" customHeight="1" x14ac:dyDescent="0.35">
      <c r="A76" s="15" t="s">
        <v>191</v>
      </c>
      <c r="B76" s="16">
        <v>2</v>
      </c>
      <c r="C76" s="15" t="s">
        <v>109</v>
      </c>
      <c r="D76" s="16">
        <v>6</v>
      </c>
      <c r="E76" s="15">
        <v>0</v>
      </c>
      <c r="F76" s="15" t="s">
        <v>188</v>
      </c>
      <c r="G76" s="15" t="s">
        <v>107</v>
      </c>
      <c r="H76" s="15">
        <v>2</v>
      </c>
      <c r="I76" s="15">
        <v>1</v>
      </c>
      <c r="J76" s="15" t="s">
        <v>192</v>
      </c>
      <c r="K76" s="16">
        <v>3</v>
      </c>
      <c r="L76" s="16">
        <v>0</v>
      </c>
      <c r="M76" s="16">
        <v>24</v>
      </c>
      <c r="N76" s="16">
        <v>96</v>
      </c>
      <c r="O76" s="16">
        <v>120</v>
      </c>
      <c r="P76" s="16">
        <v>18</v>
      </c>
      <c r="Q76" s="16">
        <v>4</v>
      </c>
      <c r="R76" s="16">
        <v>16</v>
      </c>
      <c r="S76" s="15">
        <v>393</v>
      </c>
      <c r="T76" s="40">
        <v>1</v>
      </c>
      <c r="U76" s="40">
        <v>2</v>
      </c>
      <c r="V76" s="40">
        <v>0</v>
      </c>
      <c r="W76" s="40">
        <v>94</v>
      </c>
      <c r="X76" s="40">
        <v>222</v>
      </c>
      <c r="Y76" s="40">
        <v>316</v>
      </c>
      <c r="Z76" s="40">
        <v>8</v>
      </c>
      <c r="AA76" s="40">
        <v>8</v>
      </c>
      <c r="AB76" s="40">
        <v>16</v>
      </c>
      <c r="AC76" s="40">
        <v>0</v>
      </c>
      <c r="AD76" s="40">
        <v>65</v>
      </c>
      <c r="AE76" s="40">
        <v>61</v>
      </c>
      <c r="AF76" s="40">
        <v>93.85</v>
      </c>
      <c r="AG76" s="40">
        <v>0</v>
      </c>
      <c r="AH76" s="40">
        <v>0</v>
      </c>
      <c r="AI76" s="40">
        <v>0</v>
      </c>
      <c r="AJ76" s="40">
        <v>2</v>
      </c>
      <c r="AK76" s="40">
        <v>0</v>
      </c>
      <c r="AL76" s="40">
        <v>2</v>
      </c>
      <c r="AM76" s="40">
        <v>0</v>
      </c>
      <c r="AN76" s="40">
        <v>0</v>
      </c>
      <c r="AO76" s="40">
        <v>94.44</v>
      </c>
      <c r="AP76" s="16">
        <v>18</v>
      </c>
      <c r="AQ76" s="16"/>
      <c r="AR76" s="16">
        <v>20</v>
      </c>
      <c r="AS76" s="16"/>
      <c r="AT76" s="16">
        <v>40</v>
      </c>
      <c r="AU76" s="16"/>
      <c r="AV76" s="16">
        <v>40</v>
      </c>
      <c r="AW76" s="16"/>
      <c r="AX76" s="16">
        <v>46</v>
      </c>
      <c r="AY76" s="16"/>
      <c r="AZ76" s="16">
        <v>46</v>
      </c>
      <c r="BA76" s="16"/>
      <c r="BB76" s="16">
        <v>56</v>
      </c>
      <c r="BC76" s="16"/>
      <c r="BD76" s="16">
        <v>55</v>
      </c>
      <c r="BE76" s="16"/>
      <c r="BF76" s="16">
        <v>9</v>
      </c>
      <c r="BG76" s="16">
        <v>9</v>
      </c>
      <c r="BH76" s="16">
        <v>18</v>
      </c>
      <c r="BI76" s="16">
        <v>9</v>
      </c>
      <c r="BJ76" s="16">
        <v>8</v>
      </c>
      <c r="BK76" s="16">
        <v>17</v>
      </c>
      <c r="BL76" s="16">
        <v>5</v>
      </c>
      <c r="BM76" s="16">
        <v>8</v>
      </c>
      <c r="BN76" s="16">
        <v>10</v>
      </c>
      <c r="BO76" s="16">
        <v>10</v>
      </c>
      <c r="BP76" s="16">
        <v>5</v>
      </c>
      <c r="BQ76" s="16">
        <v>38</v>
      </c>
      <c r="BR76" s="16">
        <v>4</v>
      </c>
      <c r="BS76" s="16">
        <v>0</v>
      </c>
      <c r="BT76" s="16">
        <v>60</v>
      </c>
      <c r="BU76" s="16">
        <v>145</v>
      </c>
      <c r="BV76" s="16">
        <v>205</v>
      </c>
      <c r="BW76" s="16">
        <v>29</v>
      </c>
      <c r="BX76" s="16">
        <v>0</v>
      </c>
      <c r="BY76" s="16">
        <v>16</v>
      </c>
      <c r="BZ76" s="15">
        <v>211</v>
      </c>
      <c r="CA76" s="40">
        <v>1</v>
      </c>
      <c r="CB76" s="40">
        <v>2</v>
      </c>
      <c r="CC76" s="40">
        <v>0</v>
      </c>
      <c r="CD76" s="40">
        <v>77</v>
      </c>
      <c r="CE76" s="40">
        <v>234</v>
      </c>
      <c r="CF76" s="40">
        <v>311</v>
      </c>
      <c r="CG76" s="40">
        <v>8</v>
      </c>
      <c r="CH76" s="40">
        <v>8</v>
      </c>
      <c r="CI76" s="40">
        <v>16</v>
      </c>
      <c r="CJ76" s="40">
        <v>0</v>
      </c>
      <c r="CK76" s="40">
        <v>83</v>
      </c>
      <c r="CL76" s="40">
        <v>61</v>
      </c>
      <c r="CM76" s="40">
        <v>73.489999999999995</v>
      </c>
      <c r="CN76" s="40">
        <v>4</v>
      </c>
      <c r="CO76" s="40">
        <v>18</v>
      </c>
      <c r="CP76" s="40">
        <v>22</v>
      </c>
      <c r="CQ76" s="40">
        <v>4</v>
      </c>
      <c r="CR76" s="40">
        <v>1</v>
      </c>
      <c r="CS76" s="40">
        <v>3</v>
      </c>
      <c r="CT76" s="40">
        <v>9</v>
      </c>
      <c r="CU76" s="40">
        <v>9</v>
      </c>
      <c r="CV76" s="40">
        <v>100</v>
      </c>
      <c r="CW76" s="19">
        <f t="shared" si="5"/>
        <v>4</v>
      </c>
      <c r="CX76" s="19">
        <f t="shared" si="6"/>
        <v>22</v>
      </c>
      <c r="CY76" s="19">
        <f t="shared" si="7"/>
        <v>0</v>
      </c>
      <c r="CZ76" s="19">
        <f t="shared" si="8"/>
        <v>0</v>
      </c>
    </row>
    <row r="77" spans="1:104" ht="15.75" customHeight="1" x14ac:dyDescent="0.35">
      <c r="A77" s="15" t="s">
        <v>193</v>
      </c>
      <c r="B77" s="16">
        <v>2</v>
      </c>
      <c r="C77" s="15" t="s">
        <v>105</v>
      </c>
      <c r="D77" s="16">
        <v>6</v>
      </c>
      <c r="E77" s="15">
        <v>0</v>
      </c>
      <c r="F77" s="15" t="s">
        <v>188</v>
      </c>
      <c r="G77" s="15" t="s">
        <v>107</v>
      </c>
      <c r="H77" s="15">
        <v>2</v>
      </c>
      <c r="I77" s="15">
        <v>1</v>
      </c>
      <c r="J77" s="17"/>
      <c r="K77" s="16">
        <v>3</v>
      </c>
      <c r="L77" s="16">
        <v>0</v>
      </c>
      <c r="M77" s="16">
        <v>76</v>
      </c>
      <c r="N77" s="16">
        <v>104</v>
      </c>
      <c r="O77" s="16">
        <v>180</v>
      </c>
      <c r="P77" s="16">
        <v>31</v>
      </c>
      <c r="Q77" s="16">
        <v>2</v>
      </c>
      <c r="R77" s="16">
        <v>21</v>
      </c>
      <c r="S77" s="15">
        <v>290</v>
      </c>
      <c r="T77" s="40">
        <v>3</v>
      </c>
      <c r="U77" s="40">
        <v>5</v>
      </c>
      <c r="V77" s="40">
        <v>3</v>
      </c>
      <c r="W77" s="40">
        <v>123</v>
      </c>
      <c r="X77" s="40">
        <v>135</v>
      </c>
      <c r="Y77" s="40">
        <v>258</v>
      </c>
      <c r="Z77" s="40">
        <v>8</v>
      </c>
      <c r="AA77" s="40">
        <v>8</v>
      </c>
      <c r="AB77" s="40">
        <v>16</v>
      </c>
      <c r="AC77" s="40">
        <v>0</v>
      </c>
      <c r="AD77" s="40">
        <v>75</v>
      </c>
      <c r="AE77" s="40">
        <v>61</v>
      </c>
      <c r="AF77" s="40">
        <v>81.33</v>
      </c>
      <c r="AG77" s="40">
        <v>34</v>
      </c>
      <c r="AH77" s="40">
        <v>74</v>
      </c>
      <c r="AI77" s="40">
        <v>108</v>
      </c>
      <c r="AJ77" s="40">
        <v>6</v>
      </c>
      <c r="AK77" s="40">
        <v>8</v>
      </c>
      <c r="AL77" s="40">
        <v>2</v>
      </c>
      <c r="AM77" s="40">
        <v>34</v>
      </c>
      <c r="AN77" s="40">
        <v>36</v>
      </c>
      <c r="AO77" s="40">
        <v>105.88</v>
      </c>
      <c r="AP77" s="16">
        <v>18</v>
      </c>
      <c r="AQ77" s="16"/>
      <c r="AR77" s="15">
        <v>20</v>
      </c>
      <c r="AS77" s="15">
        <v>1</v>
      </c>
      <c r="AT77" s="16">
        <v>40</v>
      </c>
      <c r="AU77" s="16"/>
      <c r="AV77" s="16">
        <v>40</v>
      </c>
      <c r="AW77" s="16"/>
      <c r="AX77" s="16">
        <v>46</v>
      </c>
      <c r="AY77" s="16"/>
      <c r="AZ77" s="16">
        <v>46</v>
      </c>
      <c r="BA77" s="16"/>
      <c r="BB77" s="16">
        <v>54</v>
      </c>
      <c r="BC77" s="16"/>
      <c r="BD77" s="16">
        <v>49</v>
      </c>
      <c r="BE77" s="16"/>
      <c r="BF77" s="16">
        <v>12</v>
      </c>
      <c r="BG77" s="16">
        <v>9</v>
      </c>
      <c r="BH77" s="16">
        <v>21</v>
      </c>
      <c r="BI77" s="16">
        <v>14</v>
      </c>
      <c r="BJ77" s="16">
        <v>15</v>
      </c>
      <c r="BK77" s="16">
        <v>29</v>
      </c>
      <c r="BL77" s="16">
        <v>4</v>
      </c>
      <c r="BM77" s="16">
        <v>8</v>
      </c>
      <c r="BN77" s="16">
        <v>19</v>
      </c>
      <c r="BO77" s="16">
        <v>9</v>
      </c>
      <c r="BP77" s="16">
        <v>6</v>
      </c>
      <c r="BQ77" s="16">
        <v>46</v>
      </c>
      <c r="BR77" s="16">
        <v>4</v>
      </c>
      <c r="BS77" s="16">
        <v>0</v>
      </c>
      <c r="BT77" s="16">
        <v>34</v>
      </c>
      <c r="BU77" s="16">
        <v>115</v>
      </c>
      <c r="BV77" s="16">
        <v>149</v>
      </c>
      <c r="BW77" s="16">
        <v>31</v>
      </c>
      <c r="BX77" s="16">
        <v>0</v>
      </c>
      <c r="BY77" s="16">
        <v>24</v>
      </c>
      <c r="BZ77" s="15">
        <v>214</v>
      </c>
      <c r="CA77" s="40">
        <v>3</v>
      </c>
      <c r="CB77" s="40">
        <v>5</v>
      </c>
      <c r="CC77" s="40">
        <v>3</v>
      </c>
      <c r="CD77" s="40">
        <v>52</v>
      </c>
      <c r="CE77" s="40">
        <v>134</v>
      </c>
      <c r="CF77" s="40">
        <v>186</v>
      </c>
      <c r="CG77" s="40">
        <v>8</v>
      </c>
      <c r="CH77" s="40">
        <v>8</v>
      </c>
      <c r="CI77" s="40">
        <v>16</v>
      </c>
      <c r="CJ77" s="40">
        <v>0</v>
      </c>
      <c r="CK77" s="40">
        <v>75</v>
      </c>
      <c r="CL77" s="40">
        <v>61</v>
      </c>
      <c r="CM77" s="40">
        <v>81.33</v>
      </c>
      <c r="CN77" s="40">
        <v>9</v>
      </c>
      <c r="CO77" s="40">
        <v>59</v>
      </c>
      <c r="CP77" s="40">
        <v>68</v>
      </c>
      <c r="CQ77" s="40">
        <v>6</v>
      </c>
      <c r="CR77" s="40">
        <v>5</v>
      </c>
      <c r="CS77" s="40">
        <v>3</v>
      </c>
      <c r="CT77" s="40">
        <v>30</v>
      </c>
      <c r="CU77" s="40">
        <v>28</v>
      </c>
      <c r="CV77" s="40">
        <v>93.33</v>
      </c>
      <c r="CW77" s="19">
        <f t="shared" si="5"/>
        <v>14</v>
      </c>
      <c r="CX77" s="19">
        <f t="shared" si="6"/>
        <v>14</v>
      </c>
      <c r="CY77" s="37">
        <f t="shared" si="7"/>
        <v>-2</v>
      </c>
      <c r="CZ77" s="19">
        <f t="shared" si="8"/>
        <v>2</v>
      </c>
    </row>
    <row r="78" spans="1:104" ht="15.75" customHeight="1" x14ac:dyDescent="0.35">
      <c r="A78" s="15" t="s">
        <v>194</v>
      </c>
      <c r="B78" s="16">
        <v>2</v>
      </c>
      <c r="C78" s="15" t="s">
        <v>105</v>
      </c>
      <c r="D78" s="16">
        <v>6</v>
      </c>
      <c r="E78" s="15">
        <v>0</v>
      </c>
      <c r="F78" s="15" t="s">
        <v>188</v>
      </c>
      <c r="G78" s="15" t="s">
        <v>107</v>
      </c>
      <c r="H78" s="15">
        <v>2</v>
      </c>
      <c r="I78" s="15">
        <v>1</v>
      </c>
      <c r="J78" s="17"/>
      <c r="K78" s="16">
        <v>3</v>
      </c>
      <c r="L78" s="16">
        <v>0</v>
      </c>
      <c r="M78" s="16">
        <v>54</v>
      </c>
      <c r="N78" s="16">
        <v>153</v>
      </c>
      <c r="O78" s="16">
        <v>207</v>
      </c>
      <c r="P78" s="16">
        <v>29</v>
      </c>
      <c r="Q78" s="16">
        <v>7</v>
      </c>
      <c r="R78" s="16">
        <v>15</v>
      </c>
      <c r="S78" s="15">
        <v>467</v>
      </c>
      <c r="T78" s="40">
        <v>2</v>
      </c>
      <c r="U78" s="40">
        <v>4</v>
      </c>
      <c r="V78" s="40">
        <v>1</v>
      </c>
      <c r="W78" s="40">
        <v>41</v>
      </c>
      <c r="X78" s="40">
        <v>447</v>
      </c>
      <c r="Y78" s="40">
        <v>488</v>
      </c>
      <c r="Z78" s="40">
        <v>6</v>
      </c>
      <c r="AA78" s="40">
        <v>8</v>
      </c>
      <c r="AB78" s="40">
        <v>11</v>
      </c>
      <c r="AC78" s="40">
        <v>2</v>
      </c>
      <c r="AD78" s="40">
        <v>42</v>
      </c>
      <c r="AE78" s="40">
        <v>40</v>
      </c>
      <c r="AF78" s="40">
        <v>95.24</v>
      </c>
      <c r="AG78" s="40">
        <v>0</v>
      </c>
      <c r="AH78" s="40">
        <v>0</v>
      </c>
      <c r="AI78" s="40">
        <v>0</v>
      </c>
      <c r="AJ78" s="40">
        <v>2</v>
      </c>
      <c r="AK78" s="40">
        <v>0</v>
      </c>
      <c r="AL78" s="40">
        <v>2</v>
      </c>
      <c r="AM78" s="40">
        <v>0</v>
      </c>
      <c r="AN78" s="40">
        <v>0</v>
      </c>
      <c r="AO78" s="40">
        <v>86.36</v>
      </c>
      <c r="AP78" s="15">
        <v>17</v>
      </c>
      <c r="AQ78" s="15">
        <v>1</v>
      </c>
      <c r="AR78" s="16">
        <v>11</v>
      </c>
      <c r="AS78" s="16"/>
      <c r="AT78" s="16">
        <v>39</v>
      </c>
      <c r="AU78" s="16"/>
      <c r="AV78" s="16">
        <v>38</v>
      </c>
      <c r="AW78" s="16"/>
      <c r="AX78" s="16">
        <v>45</v>
      </c>
      <c r="AY78" s="16"/>
      <c r="AZ78" s="16">
        <v>43</v>
      </c>
      <c r="BA78" s="16"/>
      <c r="BB78" s="16">
        <v>51</v>
      </c>
      <c r="BC78" s="16"/>
      <c r="BD78" s="16">
        <v>46</v>
      </c>
      <c r="BE78" s="16"/>
      <c r="BF78" s="16">
        <v>11</v>
      </c>
      <c r="BG78" s="16">
        <v>9</v>
      </c>
      <c r="BH78" s="16">
        <v>20</v>
      </c>
      <c r="BI78" s="16">
        <v>10</v>
      </c>
      <c r="BJ78" s="16">
        <v>10</v>
      </c>
      <c r="BK78" s="16">
        <v>20</v>
      </c>
      <c r="BL78" s="16">
        <v>6</v>
      </c>
      <c r="BM78" s="16">
        <v>12</v>
      </c>
      <c r="BN78" s="16">
        <v>11</v>
      </c>
      <c r="BO78" s="16">
        <v>9</v>
      </c>
      <c r="BP78" s="16">
        <v>5</v>
      </c>
      <c r="BQ78" s="16">
        <v>43</v>
      </c>
      <c r="BR78" s="16">
        <v>3</v>
      </c>
      <c r="BS78" s="16">
        <v>0</v>
      </c>
      <c r="BT78" s="16">
        <v>59</v>
      </c>
      <c r="BU78" s="16">
        <v>140</v>
      </c>
      <c r="BV78" s="16">
        <v>199</v>
      </c>
      <c r="BW78" s="16">
        <v>30</v>
      </c>
      <c r="BX78" s="16">
        <v>1</v>
      </c>
      <c r="BY78" s="16">
        <v>10</v>
      </c>
      <c r="BZ78" s="15">
        <v>320</v>
      </c>
      <c r="CA78" s="40">
        <v>2</v>
      </c>
      <c r="CB78" s="40">
        <v>3</v>
      </c>
      <c r="CC78" s="40">
        <v>0</v>
      </c>
      <c r="CD78" s="40">
        <v>43</v>
      </c>
      <c r="CE78" s="40">
        <v>365</v>
      </c>
      <c r="CF78" s="40">
        <v>408</v>
      </c>
      <c r="CG78" s="40">
        <v>8</v>
      </c>
      <c r="CH78" s="40">
        <v>8</v>
      </c>
      <c r="CI78" s="40">
        <v>16</v>
      </c>
      <c r="CJ78" s="40">
        <v>0</v>
      </c>
      <c r="CK78" s="40">
        <v>65</v>
      </c>
      <c r="CL78" s="40">
        <v>61</v>
      </c>
      <c r="CM78" s="40">
        <v>93.85</v>
      </c>
      <c r="CN78" s="40">
        <v>14</v>
      </c>
      <c r="CO78" s="40">
        <v>164</v>
      </c>
      <c r="CP78" s="40">
        <v>178</v>
      </c>
      <c r="CQ78" s="40">
        <v>6</v>
      </c>
      <c r="CR78" s="40">
        <v>5</v>
      </c>
      <c r="CS78" s="40">
        <v>3</v>
      </c>
      <c r="CT78" s="40">
        <v>31</v>
      </c>
      <c r="CU78" s="40">
        <v>29</v>
      </c>
      <c r="CV78" s="40">
        <v>93.55</v>
      </c>
      <c r="CW78" s="19">
        <f t="shared" si="5"/>
        <v>2</v>
      </c>
      <c r="CX78" s="19">
        <f t="shared" si="6"/>
        <v>4</v>
      </c>
      <c r="CY78" s="19">
        <f t="shared" si="7"/>
        <v>0</v>
      </c>
      <c r="CZ78" s="19">
        <f t="shared" si="8"/>
        <v>2</v>
      </c>
    </row>
    <row r="79" spans="1:104" ht="15.75" customHeight="1" x14ac:dyDescent="0.35">
      <c r="A79" s="15" t="s">
        <v>195</v>
      </c>
      <c r="B79" s="16">
        <v>2</v>
      </c>
      <c r="C79" s="15" t="s">
        <v>109</v>
      </c>
      <c r="D79" s="16">
        <v>6</v>
      </c>
      <c r="E79" s="15">
        <v>0</v>
      </c>
      <c r="F79" s="15" t="s">
        <v>188</v>
      </c>
      <c r="G79" s="15" t="s">
        <v>107</v>
      </c>
      <c r="H79" s="15">
        <v>2</v>
      </c>
      <c r="I79" s="15">
        <v>1</v>
      </c>
      <c r="J79" s="17"/>
      <c r="K79" s="16">
        <v>3</v>
      </c>
      <c r="L79" s="16">
        <v>0</v>
      </c>
      <c r="M79" s="16">
        <v>20</v>
      </c>
      <c r="N79" s="16">
        <v>90</v>
      </c>
      <c r="O79" s="16">
        <v>110</v>
      </c>
      <c r="P79" s="16">
        <v>21</v>
      </c>
      <c r="Q79" s="16">
        <v>2</v>
      </c>
      <c r="R79" s="16">
        <v>24</v>
      </c>
      <c r="S79" s="15">
        <v>323</v>
      </c>
      <c r="T79" s="40">
        <v>3</v>
      </c>
      <c r="U79" s="40">
        <v>5</v>
      </c>
      <c r="V79" s="40">
        <v>3</v>
      </c>
      <c r="W79" s="40">
        <v>42</v>
      </c>
      <c r="X79" s="40">
        <v>288</v>
      </c>
      <c r="Y79" s="40">
        <v>330</v>
      </c>
      <c r="Z79" s="40">
        <v>8</v>
      </c>
      <c r="AA79" s="40">
        <v>8</v>
      </c>
      <c r="AB79" s="40">
        <v>16</v>
      </c>
      <c r="AC79" s="40">
        <v>0</v>
      </c>
      <c r="AD79" s="40">
        <v>67</v>
      </c>
      <c r="AE79" s="40">
        <v>61</v>
      </c>
      <c r="AF79" s="40">
        <v>91.04</v>
      </c>
      <c r="AG79" s="40">
        <v>17</v>
      </c>
      <c r="AH79" s="40">
        <v>100</v>
      </c>
      <c r="AI79" s="40">
        <v>117</v>
      </c>
      <c r="AJ79" s="40">
        <v>5</v>
      </c>
      <c r="AK79" s="40">
        <v>6</v>
      </c>
      <c r="AL79" s="40">
        <v>2</v>
      </c>
      <c r="AM79" s="40">
        <v>28</v>
      </c>
      <c r="AN79" s="40">
        <v>28</v>
      </c>
      <c r="AO79" s="40">
        <v>100</v>
      </c>
      <c r="AP79" s="16">
        <v>20</v>
      </c>
      <c r="AQ79" s="16"/>
      <c r="AR79" s="16">
        <v>20</v>
      </c>
      <c r="AS79" s="16"/>
      <c r="AT79" s="16">
        <v>44</v>
      </c>
      <c r="AU79" s="16"/>
      <c r="AV79" s="16">
        <v>34</v>
      </c>
      <c r="AW79" s="16"/>
      <c r="AX79" s="16">
        <v>39</v>
      </c>
      <c r="AY79" s="16"/>
      <c r="AZ79" s="16">
        <v>39</v>
      </c>
      <c r="BA79" s="16"/>
      <c r="BB79" s="16">
        <v>53</v>
      </c>
      <c r="BC79" s="16"/>
      <c r="BD79" s="16">
        <v>57</v>
      </c>
      <c r="BE79" s="16"/>
      <c r="BF79" s="16">
        <v>8</v>
      </c>
      <c r="BG79" s="16">
        <v>7</v>
      </c>
      <c r="BH79" s="16">
        <v>15</v>
      </c>
      <c r="BI79" s="16">
        <v>9</v>
      </c>
      <c r="BJ79" s="16">
        <v>9</v>
      </c>
      <c r="BK79" s="16">
        <v>18</v>
      </c>
      <c r="BL79" s="16">
        <v>5</v>
      </c>
      <c r="BM79" s="16">
        <v>9</v>
      </c>
      <c r="BN79" s="16">
        <v>10</v>
      </c>
      <c r="BO79" s="16">
        <v>6</v>
      </c>
      <c r="BP79" s="16">
        <v>5</v>
      </c>
      <c r="BQ79" s="16">
        <v>35</v>
      </c>
      <c r="BR79" s="16">
        <v>3</v>
      </c>
      <c r="BS79" s="16">
        <v>3</v>
      </c>
      <c r="BT79" s="16">
        <v>30</v>
      </c>
      <c r="BU79" s="16">
        <v>99</v>
      </c>
      <c r="BV79" s="16">
        <v>129</v>
      </c>
      <c r="BW79" s="16">
        <v>30</v>
      </c>
      <c r="BX79" s="16">
        <v>4</v>
      </c>
      <c r="BY79" s="16">
        <v>24</v>
      </c>
      <c r="BZ79" s="15">
        <v>394</v>
      </c>
      <c r="CA79" s="40">
        <v>3</v>
      </c>
      <c r="CB79" s="40">
        <v>5</v>
      </c>
      <c r="CC79" s="40">
        <v>3</v>
      </c>
      <c r="CD79" s="40">
        <v>44</v>
      </c>
      <c r="CE79" s="40">
        <v>110</v>
      </c>
      <c r="CF79" s="40">
        <v>154</v>
      </c>
      <c r="CG79" s="40">
        <v>8</v>
      </c>
      <c r="CH79" s="40">
        <v>8</v>
      </c>
      <c r="CI79" s="40">
        <v>16</v>
      </c>
      <c r="CJ79" s="40">
        <v>0</v>
      </c>
      <c r="CK79" s="40">
        <v>63</v>
      </c>
      <c r="CL79" s="40">
        <v>61</v>
      </c>
      <c r="CM79" s="40">
        <v>96.83</v>
      </c>
      <c r="CN79" s="40">
        <v>15</v>
      </c>
      <c r="CO79" s="40">
        <v>5</v>
      </c>
      <c r="CP79" s="40">
        <v>20</v>
      </c>
      <c r="CQ79" s="40">
        <v>4</v>
      </c>
      <c r="CR79" s="40">
        <v>1</v>
      </c>
      <c r="CS79" s="40">
        <v>3</v>
      </c>
      <c r="CT79" s="40">
        <v>9</v>
      </c>
      <c r="CU79" s="40">
        <v>9</v>
      </c>
      <c r="CV79" s="40">
        <v>100</v>
      </c>
      <c r="CW79" s="19">
        <f t="shared" si="5"/>
        <v>6</v>
      </c>
      <c r="CX79" s="19">
        <f t="shared" si="6"/>
        <v>2</v>
      </c>
      <c r="CY79" s="19">
        <f t="shared" si="7"/>
        <v>0</v>
      </c>
      <c r="CZ79" s="19">
        <f t="shared" si="8"/>
        <v>0</v>
      </c>
    </row>
    <row r="80" spans="1:104" ht="15.75" customHeight="1" x14ac:dyDescent="0.35">
      <c r="A80" s="15" t="s">
        <v>196</v>
      </c>
      <c r="B80" s="16">
        <v>2</v>
      </c>
      <c r="C80" s="15" t="s">
        <v>109</v>
      </c>
      <c r="D80" s="16">
        <v>6</v>
      </c>
      <c r="E80" s="15">
        <v>0</v>
      </c>
      <c r="F80" s="15" t="s">
        <v>188</v>
      </c>
      <c r="G80" s="15" t="s">
        <v>107</v>
      </c>
      <c r="H80" s="15">
        <v>2</v>
      </c>
      <c r="I80" s="15">
        <v>1</v>
      </c>
      <c r="J80" s="17"/>
      <c r="K80" s="16">
        <v>0</v>
      </c>
      <c r="L80" s="16">
        <v>0</v>
      </c>
      <c r="M80" s="16">
        <v>64</v>
      </c>
      <c r="N80" s="16">
        <v>81</v>
      </c>
      <c r="O80" s="16">
        <v>145</v>
      </c>
      <c r="P80" s="16">
        <v>20</v>
      </c>
      <c r="Q80" s="16">
        <v>6</v>
      </c>
      <c r="R80" s="16">
        <v>16</v>
      </c>
      <c r="S80" s="15">
        <v>298</v>
      </c>
      <c r="T80" s="40">
        <v>2</v>
      </c>
      <c r="U80" s="40">
        <v>3</v>
      </c>
      <c r="V80" s="40">
        <v>2</v>
      </c>
      <c r="W80" s="40">
        <v>142</v>
      </c>
      <c r="X80" s="40">
        <v>346</v>
      </c>
      <c r="Y80" s="40">
        <v>488</v>
      </c>
      <c r="Z80" s="40">
        <v>8</v>
      </c>
      <c r="AA80" s="40">
        <v>8</v>
      </c>
      <c r="AB80" s="40">
        <v>16</v>
      </c>
      <c r="AC80" s="40">
        <v>0</v>
      </c>
      <c r="AD80" s="40">
        <v>95</v>
      </c>
      <c r="AE80" s="40">
        <v>61</v>
      </c>
      <c r="AF80" s="40">
        <v>64.209999999999994</v>
      </c>
      <c r="AG80" s="40">
        <v>109</v>
      </c>
      <c r="AH80" s="40">
        <v>66</v>
      </c>
      <c r="AI80" s="40">
        <v>175</v>
      </c>
      <c r="AJ80" s="40">
        <v>8</v>
      </c>
      <c r="AK80" s="40">
        <v>6</v>
      </c>
      <c r="AL80" s="40">
        <v>4</v>
      </c>
      <c r="AM80" s="40">
        <v>48</v>
      </c>
      <c r="AN80" s="40">
        <v>36</v>
      </c>
      <c r="AO80" s="40">
        <v>75</v>
      </c>
      <c r="AP80" s="15" t="s">
        <v>197</v>
      </c>
      <c r="AQ80" s="15"/>
      <c r="AR80" s="15" t="s">
        <v>197</v>
      </c>
      <c r="AS80" s="15"/>
      <c r="AT80" s="16">
        <v>36</v>
      </c>
      <c r="AU80" s="16"/>
      <c r="AV80" s="16">
        <v>29</v>
      </c>
      <c r="AW80" s="16"/>
      <c r="AX80" s="16">
        <v>36</v>
      </c>
      <c r="AY80" s="16"/>
      <c r="AZ80" s="16">
        <v>39</v>
      </c>
      <c r="BA80" s="16"/>
      <c r="BB80" s="16">
        <v>45</v>
      </c>
      <c r="BC80" s="16"/>
      <c r="BD80" s="16">
        <v>53</v>
      </c>
      <c r="BE80" s="16"/>
      <c r="BF80" s="16">
        <v>12</v>
      </c>
      <c r="BG80" s="16">
        <v>8</v>
      </c>
      <c r="BH80" s="16">
        <v>20</v>
      </c>
      <c r="BI80" s="16">
        <v>13</v>
      </c>
      <c r="BJ80" s="16">
        <v>9</v>
      </c>
      <c r="BK80" s="16">
        <v>22</v>
      </c>
      <c r="BL80" s="16">
        <v>6</v>
      </c>
      <c r="BM80" s="16">
        <v>14</v>
      </c>
      <c r="BN80" s="16">
        <v>14</v>
      </c>
      <c r="BO80" s="16">
        <v>9</v>
      </c>
      <c r="BP80" s="16">
        <v>6</v>
      </c>
      <c r="BQ80" s="16">
        <v>49</v>
      </c>
      <c r="BR80" s="16">
        <v>3</v>
      </c>
      <c r="BS80" s="16">
        <v>0</v>
      </c>
      <c r="BT80" s="16">
        <v>69</v>
      </c>
      <c r="BU80" s="16">
        <v>209</v>
      </c>
      <c r="BV80" s="16">
        <v>278</v>
      </c>
      <c r="BW80" s="16">
        <v>27</v>
      </c>
      <c r="BX80" s="16">
        <v>2</v>
      </c>
      <c r="BY80" s="16">
        <v>18</v>
      </c>
      <c r="BZ80" s="15">
        <v>333</v>
      </c>
      <c r="CA80" s="40">
        <v>3</v>
      </c>
      <c r="CB80" s="40">
        <v>4</v>
      </c>
      <c r="CC80" s="40">
        <v>2</v>
      </c>
      <c r="CD80" s="40">
        <v>55</v>
      </c>
      <c r="CE80" s="40">
        <v>294</v>
      </c>
      <c r="CF80" s="40">
        <v>349</v>
      </c>
      <c r="CG80" s="40">
        <v>8</v>
      </c>
      <c r="CH80" s="40">
        <v>8</v>
      </c>
      <c r="CI80" s="40">
        <v>16</v>
      </c>
      <c r="CJ80" s="40">
        <v>0</v>
      </c>
      <c r="CK80" s="40">
        <v>93</v>
      </c>
      <c r="CL80" s="40">
        <v>61</v>
      </c>
      <c r="CM80" s="40">
        <v>65.59</v>
      </c>
      <c r="CN80" s="40">
        <v>13</v>
      </c>
      <c r="CO80" s="40">
        <v>56</v>
      </c>
      <c r="CP80" s="40">
        <v>69</v>
      </c>
      <c r="CQ80" s="40">
        <v>4</v>
      </c>
      <c r="CR80" s="40">
        <v>4</v>
      </c>
      <c r="CS80" s="40">
        <v>2</v>
      </c>
      <c r="CT80" s="40">
        <v>20</v>
      </c>
      <c r="CU80" s="40">
        <v>18</v>
      </c>
      <c r="CV80" s="40">
        <v>90</v>
      </c>
      <c r="CW80" s="19">
        <f t="shared" si="5"/>
        <v>34</v>
      </c>
      <c r="CX80" s="52">
        <f t="shared" si="6"/>
        <v>32</v>
      </c>
      <c r="CY80" s="19">
        <f t="shared" si="7"/>
        <v>12</v>
      </c>
      <c r="CZ80" s="19">
        <f t="shared" si="8"/>
        <v>2</v>
      </c>
    </row>
    <row r="81" spans="1:104" ht="15.75" customHeight="1" x14ac:dyDescent="0.35">
      <c r="A81" s="15" t="s">
        <v>198</v>
      </c>
      <c r="B81" s="16">
        <v>2</v>
      </c>
      <c r="C81" s="15" t="s">
        <v>109</v>
      </c>
      <c r="D81" s="16">
        <v>6</v>
      </c>
      <c r="E81" s="15">
        <v>0</v>
      </c>
      <c r="F81" s="15" t="s">
        <v>188</v>
      </c>
      <c r="G81" s="15" t="s">
        <v>107</v>
      </c>
      <c r="H81" s="15">
        <v>2</v>
      </c>
      <c r="I81" s="15">
        <v>1</v>
      </c>
      <c r="J81" s="17"/>
      <c r="K81" s="16">
        <v>5</v>
      </c>
      <c r="L81" s="16">
        <v>5</v>
      </c>
      <c r="M81" s="16">
        <v>239</v>
      </c>
      <c r="N81" s="16">
        <v>142</v>
      </c>
      <c r="O81" s="16">
        <v>381</v>
      </c>
      <c r="P81" s="16">
        <v>27</v>
      </c>
      <c r="Q81" s="16">
        <v>3</v>
      </c>
      <c r="R81" s="16">
        <v>22</v>
      </c>
      <c r="S81" s="15">
        <v>355</v>
      </c>
      <c r="T81" s="40">
        <v>1</v>
      </c>
      <c r="U81" s="40">
        <v>2</v>
      </c>
      <c r="V81" s="40">
        <v>0</v>
      </c>
      <c r="W81" s="40">
        <v>40916</v>
      </c>
      <c r="X81" s="40">
        <v>-40504</v>
      </c>
      <c r="Y81" s="40">
        <v>412</v>
      </c>
      <c r="Z81" s="40">
        <v>8</v>
      </c>
      <c r="AA81" s="40">
        <v>8</v>
      </c>
      <c r="AB81" s="40">
        <v>16</v>
      </c>
      <c r="AC81" s="40">
        <v>0</v>
      </c>
      <c r="AD81" s="40">
        <v>75</v>
      </c>
      <c r="AE81" s="40">
        <v>61</v>
      </c>
      <c r="AF81" s="40">
        <v>81.33</v>
      </c>
      <c r="AG81" s="40">
        <v>86</v>
      </c>
      <c r="AH81" s="40">
        <v>93</v>
      </c>
      <c r="AI81" s="40">
        <v>179</v>
      </c>
      <c r="AJ81" s="40">
        <v>6</v>
      </c>
      <c r="AK81" s="40">
        <v>5</v>
      </c>
      <c r="AL81" s="40">
        <v>3</v>
      </c>
      <c r="AM81" s="40">
        <v>32</v>
      </c>
      <c r="AN81" s="40">
        <v>26</v>
      </c>
      <c r="AO81" s="40">
        <v>81.25</v>
      </c>
      <c r="AP81" s="15">
        <v>36</v>
      </c>
      <c r="AQ81" s="15">
        <v>5</v>
      </c>
      <c r="AR81" s="15">
        <v>33</v>
      </c>
      <c r="AS81" s="15">
        <v>3</v>
      </c>
      <c r="AT81" s="15">
        <v>43</v>
      </c>
      <c r="AU81" s="15">
        <v>2</v>
      </c>
      <c r="AV81" s="15">
        <v>41</v>
      </c>
      <c r="AW81" s="15">
        <v>1</v>
      </c>
      <c r="AX81" s="16">
        <v>48</v>
      </c>
      <c r="AY81" s="16"/>
      <c r="AZ81" s="15">
        <v>56</v>
      </c>
      <c r="BA81" s="15">
        <v>2</v>
      </c>
      <c r="BB81" s="15">
        <v>52</v>
      </c>
      <c r="BC81" s="15">
        <v>1</v>
      </c>
      <c r="BD81" s="15">
        <v>57</v>
      </c>
      <c r="BE81" s="16">
        <v>1</v>
      </c>
      <c r="BF81" s="16">
        <v>12</v>
      </c>
      <c r="BG81" s="16">
        <v>7</v>
      </c>
      <c r="BH81" s="16">
        <v>19</v>
      </c>
      <c r="BI81" s="16">
        <v>8</v>
      </c>
      <c r="BJ81" s="16">
        <v>8</v>
      </c>
      <c r="BK81" s="16">
        <v>16</v>
      </c>
      <c r="BL81" s="16">
        <v>4</v>
      </c>
      <c r="BM81" s="16">
        <v>8</v>
      </c>
      <c r="BN81" s="16">
        <v>7</v>
      </c>
      <c r="BO81" s="16">
        <v>6</v>
      </c>
      <c r="BP81" s="16">
        <v>5</v>
      </c>
      <c r="BQ81" s="16">
        <v>30</v>
      </c>
      <c r="BR81" s="16">
        <v>4</v>
      </c>
      <c r="BS81" s="16">
        <v>5</v>
      </c>
      <c r="BT81" s="16">
        <v>39</v>
      </c>
      <c r="BU81" s="16">
        <v>172</v>
      </c>
      <c r="BV81" s="16">
        <v>211</v>
      </c>
      <c r="BW81" s="16">
        <v>30</v>
      </c>
      <c r="BX81" s="16">
        <v>0</v>
      </c>
      <c r="BY81" s="16">
        <v>23</v>
      </c>
      <c r="BZ81" s="15">
        <v>271</v>
      </c>
      <c r="CA81" s="40">
        <v>3</v>
      </c>
      <c r="CB81" s="40">
        <v>4</v>
      </c>
      <c r="CC81" s="40">
        <v>2</v>
      </c>
      <c r="CD81" s="40">
        <v>68</v>
      </c>
      <c r="CE81" s="40">
        <v>299</v>
      </c>
      <c r="CF81" s="40">
        <v>367</v>
      </c>
      <c r="CG81" s="40">
        <v>8</v>
      </c>
      <c r="CH81" s="40">
        <v>8</v>
      </c>
      <c r="CI81" s="40">
        <v>16</v>
      </c>
      <c r="CJ81" s="40">
        <v>0</v>
      </c>
      <c r="CK81" s="40">
        <v>77</v>
      </c>
      <c r="CL81" s="40">
        <v>61</v>
      </c>
      <c r="CM81" s="40">
        <v>79.22</v>
      </c>
      <c r="CN81" s="40">
        <v>42</v>
      </c>
      <c r="CO81" s="40">
        <v>182</v>
      </c>
      <c r="CP81" s="40">
        <v>224</v>
      </c>
      <c r="CQ81" s="40">
        <v>8</v>
      </c>
      <c r="CR81" s="40">
        <v>9</v>
      </c>
      <c r="CS81" s="40">
        <v>3</v>
      </c>
      <c r="CT81" s="40">
        <v>55</v>
      </c>
      <c r="CU81" s="40">
        <v>47</v>
      </c>
      <c r="CV81" s="40">
        <v>85.45</v>
      </c>
      <c r="CW81" s="19">
        <f t="shared" si="5"/>
        <v>14</v>
      </c>
      <c r="CX81" s="19">
        <f t="shared" si="6"/>
        <v>16</v>
      </c>
      <c r="CY81" s="19">
        <f t="shared" si="7"/>
        <v>6</v>
      </c>
      <c r="CZ81" s="19">
        <f t="shared" si="8"/>
        <v>8</v>
      </c>
    </row>
    <row r="82" spans="1:104" ht="15.75" customHeight="1" x14ac:dyDescent="0.35">
      <c r="A82" s="15" t="s">
        <v>199</v>
      </c>
      <c r="B82" s="16">
        <v>2</v>
      </c>
      <c r="C82" s="15" t="s">
        <v>109</v>
      </c>
      <c r="D82" s="16">
        <v>6</v>
      </c>
      <c r="E82" s="15">
        <v>0</v>
      </c>
      <c r="F82" s="15" t="s">
        <v>188</v>
      </c>
      <c r="G82" s="15" t="s">
        <v>107</v>
      </c>
      <c r="H82" s="15">
        <v>2</v>
      </c>
      <c r="I82" s="15">
        <v>1</v>
      </c>
      <c r="J82" s="17"/>
      <c r="K82" s="16">
        <v>4</v>
      </c>
      <c r="L82" s="16">
        <v>0</v>
      </c>
      <c r="M82" s="16">
        <v>11</v>
      </c>
      <c r="N82" s="16">
        <v>119</v>
      </c>
      <c r="O82" s="16">
        <v>130</v>
      </c>
      <c r="P82" s="16">
        <v>21</v>
      </c>
      <c r="Q82" s="16">
        <v>2</v>
      </c>
      <c r="R82" s="16">
        <v>18</v>
      </c>
      <c r="S82" s="15">
        <v>279</v>
      </c>
      <c r="T82" s="40">
        <v>2</v>
      </c>
      <c r="U82" s="40">
        <v>3</v>
      </c>
      <c r="V82" s="40">
        <v>0</v>
      </c>
      <c r="W82" s="40">
        <v>35</v>
      </c>
      <c r="X82" s="40">
        <v>150</v>
      </c>
      <c r="Y82" s="40">
        <v>185</v>
      </c>
      <c r="Z82" s="40">
        <v>8</v>
      </c>
      <c r="AA82" s="40">
        <v>8</v>
      </c>
      <c r="AB82" s="40">
        <v>16</v>
      </c>
      <c r="AC82" s="40">
        <v>0</v>
      </c>
      <c r="AD82" s="40">
        <v>63</v>
      </c>
      <c r="AE82" s="40">
        <v>61</v>
      </c>
      <c r="AF82" s="40">
        <v>96.83</v>
      </c>
      <c r="AG82" s="40">
        <v>8</v>
      </c>
      <c r="AH82" s="40">
        <v>14</v>
      </c>
      <c r="AI82" s="40">
        <v>22</v>
      </c>
      <c r="AJ82" s="40">
        <v>3</v>
      </c>
      <c r="AK82" s="40">
        <v>2</v>
      </c>
      <c r="AL82" s="40">
        <v>2</v>
      </c>
      <c r="AM82" s="40">
        <v>8</v>
      </c>
      <c r="AN82" s="40">
        <v>8</v>
      </c>
      <c r="AO82" s="40">
        <v>100</v>
      </c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46"/>
      <c r="BF82" s="46" t="s">
        <v>200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6">
        <v>3</v>
      </c>
      <c r="BS82" s="16">
        <v>0</v>
      </c>
      <c r="BT82" s="16">
        <v>19</v>
      </c>
      <c r="BU82" s="16">
        <v>130</v>
      </c>
      <c r="BV82" s="16">
        <v>149</v>
      </c>
      <c r="BW82" s="16"/>
      <c r="BX82" s="16">
        <v>1</v>
      </c>
      <c r="BY82" s="16">
        <v>17</v>
      </c>
      <c r="BZ82" s="15">
        <v>281</v>
      </c>
      <c r="CA82" s="40">
        <v>2</v>
      </c>
      <c r="CB82" s="40">
        <v>3</v>
      </c>
      <c r="CC82" s="40">
        <v>0</v>
      </c>
      <c r="CD82" s="40">
        <v>34</v>
      </c>
      <c r="CE82" s="40">
        <v>113</v>
      </c>
      <c r="CF82" s="40">
        <v>147</v>
      </c>
      <c r="CG82" s="40">
        <v>8</v>
      </c>
      <c r="CH82" s="40">
        <v>8</v>
      </c>
      <c r="CI82" s="40">
        <v>16</v>
      </c>
      <c r="CJ82" s="40">
        <v>0</v>
      </c>
      <c r="CK82" s="40">
        <v>69</v>
      </c>
      <c r="CL82" s="40">
        <v>61</v>
      </c>
      <c r="CM82" s="40">
        <v>88.41</v>
      </c>
      <c r="CN82" s="40">
        <v>16</v>
      </c>
      <c r="CO82" s="40">
        <v>93</v>
      </c>
      <c r="CP82" s="40">
        <v>109</v>
      </c>
      <c r="CQ82" s="40">
        <v>7</v>
      </c>
      <c r="CR82" s="40">
        <v>7</v>
      </c>
      <c r="CS82" s="40">
        <v>3</v>
      </c>
      <c r="CT82" s="40">
        <v>48</v>
      </c>
      <c r="CU82" s="40">
        <v>34</v>
      </c>
      <c r="CV82" s="40">
        <v>70.83</v>
      </c>
      <c r="CW82" s="19">
        <f t="shared" si="5"/>
        <v>2</v>
      </c>
      <c r="CX82" s="19">
        <f t="shared" si="6"/>
        <v>8</v>
      </c>
      <c r="CY82" s="19">
        <f t="shared" si="7"/>
        <v>0</v>
      </c>
      <c r="CZ82" s="19">
        <f t="shared" si="8"/>
        <v>14</v>
      </c>
    </row>
    <row r="83" spans="1:104" ht="15.75" customHeight="1" x14ac:dyDescent="0.35">
      <c r="A83" s="15" t="s">
        <v>201</v>
      </c>
      <c r="B83" s="16">
        <v>2</v>
      </c>
      <c r="C83" s="15" t="s">
        <v>105</v>
      </c>
      <c r="D83" s="16">
        <v>6</v>
      </c>
      <c r="E83" s="15">
        <v>0</v>
      </c>
      <c r="F83" s="15" t="s">
        <v>188</v>
      </c>
      <c r="G83" s="15" t="s">
        <v>107</v>
      </c>
      <c r="H83" s="15">
        <v>2</v>
      </c>
      <c r="I83" s="15">
        <v>1</v>
      </c>
      <c r="J83" s="17"/>
      <c r="K83" s="16">
        <v>4</v>
      </c>
      <c r="L83" s="16">
        <v>0</v>
      </c>
      <c r="M83" s="16">
        <v>59</v>
      </c>
      <c r="N83" s="16">
        <v>114</v>
      </c>
      <c r="O83" s="16">
        <v>173</v>
      </c>
      <c r="P83" s="16">
        <v>25</v>
      </c>
      <c r="Q83" s="16">
        <v>0</v>
      </c>
      <c r="R83" s="16">
        <v>22</v>
      </c>
      <c r="S83" s="15">
        <v>375</v>
      </c>
      <c r="T83" s="19">
        <v>2</v>
      </c>
      <c r="U83" s="19">
        <v>3</v>
      </c>
      <c r="V83" s="19">
        <v>2</v>
      </c>
      <c r="W83" s="19">
        <v>45</v>
      </c>
      <c r="X83" s="19">
        <v>137</v>
      </c>
      <c r="Y83" s="19">
        <v>182</v>
      </c>
      <c r="Z83" s="19">
        <v>8</v>
      </c>
      <c r="AA83" s="19">
        <v>8</v>
      </c>
      <c r="AB83" s="19">
        <v>16</v>
      </c>
      <c r="AC83" s="19">
        <v>0</v>
      </c>
      <c r="AD83" s="19">
        <v>65</v>
      </c>
      <c r="AE83" s="19">
        <v>61</v>
      </c>
      <c r="AF83" s="19">
        <v>93.85</v>
      </c>
      <c r="AG83" s="19">
        <v>5</v>
      </c>
      <c r="AH83" s="19">
        <v>13</v>
      </c>
      <c r="AI83" s="19">
        <v>18</v>
      </c>
      <c r="AJ83" s="19">
        <v>3</v>
      </c>
      <c r="AK83" s="19">
        <v>2</v>
      </c>
      <c r="AL83" s="19">
        <v>2</v>
      </c>
      <c r="AM83" s="19">
        <v>8</v>
      </c>
      <c r="AN83" s="19">
        <v>8</v>
      </c>
      <c r="AO83" s="19">
        <v>100</v>
      </c>
      <c r="AP83" s="15">
        <v>30</v>
      </c>
      <c r="AQ83" s="15">
        <v>2</v>
      </c>
      <c r="AR83" s="15">
        <v>24</v>
      </c>
      <c r="AS83" s="15">
        <v>1</v>
      </c>
      <c r="AT83" s="15">
        <v>45</v>
      </c>
      <c r="AU83" s="15">
        <v>2</v>
      </c>
      <c r="AV83" s="15">
        <v>45</v>
      </c>
      <c r="AW83" s="15">
        <v>1</v>
      </c>
      <c r="AX83" s="15">
        <v>47</v>
      </c>
      <c r="AY83" s="15">
        <v>1</v>
      </c>
      <c r="AZ83" s="15">
        <v>57</v>
      </c>
      <c r="BA83" s="15">
        <v>3</v>
      </c>
      <c r="BB83" s="16">
        <v>56</v>
      </c>
      <c r="BC83" s="16"/>
      <c r="BD83" s="16">
        <v>60</v>
      </c>
      <c r="BE83" s="16"/>
      <c r="BF83" s="16">
        <v>11</v>
      </c>
      <c r="BG83" s="16">
        <v>6</v>
      </c>
      <c r="BH83" s="16">
        <v>17</v>
      </c>
      <c r="BI83" s="16">
        <v>8</v>
      </c>
      <c r="BJ83" s="16">
        <v>8</v>
      </c>
      <c r="BK83" s="16">
        <v>16</v>
      </c>
      <c r="BL83" s="16">
        <v>4</v>
      </c>
      <c r="BM83" s="16">
        <v>9</v>
      </c>
      <c r="BN83" s="16">
        <v>9</v>
      </c>
      <c r="BO83" s="16">
        <v>4</v>
      </c>
      <c r="BP83" s="16">
        <v>6</v>
      </c>
      <c r="BQ83" s="16">
        <v>32</v>
      </c>
      <c r="BR83" s="16">
        <v>4</v>
      </c>
      <c r="BS83" s="16">
        <v>0</v>
      </c>
      <c r="BT83" s="16">
        <v>33</v>
      </c>
      <c r="BU83" s="16">
        <v>83</v>
      </c>
      <c r="BV83" s="16">
        <v>116</v>
      </c>
      <c r="BW83" s="16">
        <v>24</v>
      </c>
      <c r="BX83" s="16">
        <v>0</v>
      </c>
      <c r="BY83" s="16">
        <v>16</v>
      </c>
      <c r="BZ83" s="15">
        <v>239</v>
      </c>
      <c r="CA83" s="40">
        <v>1</v>
      </c>
      <c r="CB83" s="40">
        <v>2</v>
      </c>
      <c r="CC83" s="40">
        <v>0</v>
      </c>
      <c r="CD83" s="40">
        <v>33</v>
      </c>
      <c r="CE83" s="40">
        <v>153</v>
      </c>
      <c r="CF83" s="40">
        <v>186</v>
      </c>
      <c r="CG83" s="40">
        <v>8</v>
      </c>
      <c r="CH83" s="40">
        <v>8</v>
      </c>
      <c r="CI83" s="40">
        <v>16</v>
      </c>
      <c r="CJ83" s="40">
        <v>0</v>
      </c>
      <c r="CK83" s="40">
        <v>73</v>
      </c>
      <c r="CL83" s="40">
        <v>61</v>
      </c>
      <c r="CM83" s="40">
        <v>83.56</v>
      </c>
      <c r="CN83" s="40">
        <v>24</v>
      </c>
      <c r="CO83" s="40">
        <v>113</v>
      </c>
      <c r="CP83" s="40">
        <v>137</v>
      </c>
      <c r="CQ83" s="40">
        <v>8</v>
      </c>
      <c r="CR83" s="40">
        <v>9</v>
      </c>
      <c r="CS83" s="40">
        <v>3</v>
      </c>
      <c r="CT83" s="40">
        <v>51</v>
      </c>
      <c r="CU83" s="40">
        <v>47</v>
      </c>
      <c r="CV83" s="40">
        <v>92.16</v>
      </c>
      <c r="CW83" s="19">
        <f t="shared" si="5"/>
        <v>4</v>
      </c>
      <c r="CX83" s="19">
        <f t="shared" si="6"/>
        <v>12</v>
      </c>
      <c r="CY83" s="19">
        <f t="shared" si="7"/>
        <v>0</v>
      </c>
      <c r="CZ83" s="19">
        <f t="shared" si="8"/>
        <v>4</v>
      </c>
    </row>
    <row r="84" spans="1:104" ht="15.75" customHeight="1" x14ac:dyDescent="0.35">
      <c r="A84" s="15" t="s">
        <v>202</v>
      </c>
      <c r="B84" s="16">
        <v>2</v>
      </c>
      <c r="C84" s="15" t="s">
        <v>109</v>
      </c>
      <c r="D84" s="16">
        <v>6</v>
      </c>
      <c r="E84" s="15">
        <v>0</v>
      </c>
      <c r="F84" s="15" t="s">
        <v>188</v>
      </c>
      <c r="G84" s="15" t="s">
        <v>107</v>
      </c>
      <c r="H84" s="15">
        <v>2</v>
      </c>
      <c r="I84" s="15">
        <v>1</v>
      </c>
      <c r="J84" s="17"/>
      <c r="K84" s="16">
        <v>6</v>
      </c>
      <c r="L84" s="16">
        <v>5</v>
      </c>
      <c r="M84" s="16">
        <v>112</v>
      </c>
      <c r="N84" s="16">
        <v>85</v>
      </c>
      <c r="O84" s="16">
        <v>197</v>
      </c>
      <c r="P84" s="16">
        <v>28</v>
      </c>
      <c r="Q84" s="16">
        <v>1</v>
      </c>
      <c r="R84" s="16">
        <v>28</v>
      </c>
      <c r="S84" s="15">
        <v>325</v>
      </c>
      <c r="T84" s="40">
        <v>6</v>
      </c>
      <c r="U84" s="40">
        <v>7</v>
      </c>
      <c r="V84" s="40">
        <v>8</v>
      </c>
      <c r="W84" s="40">
        <v>52</v>
      </c>
      <c r="X84" s="40">
        <v>130</v>
      </c>
      <c r="Y84" s="40">
        <v>182</v>
      </c>
      <c r="Z84" s="40">
        <v>8</v>
      </c>
      <c r="AA84" s="40">
        <v>10</v>
      </c>
      <c r="AB84" s="40">
        <v>14</v>
      </c>
      <c r="AC84" s="40">
        <v>2</v>
      </c>
      <c r="AD84" s="40">
        <v>71</v>
      </c>
      <c r="AE84" s="40">
        <v>61</v>
      </c>
      <c r="AF84" s="40">
        <v>85.92</v>
      </c>
      <c r="AG84" s="40">
        <v>0</v>
      </c>
      <c r="AH84" s="40">
        <v>0</v>
      </c>
      <c r="AI84" s="40">
        <v>0</v>
      </c>
      <c r="AJ84" s="40">
        <v>2</v>
      </c>
      <c r="AK84" s="40">
        <v>0</v>
      </c>
      <c r="AL84" s="40">
        <v>2</v>
      </c>
      <c r="AM84" s="40">
        <v>0</v>
      </c>
      <c r="AN84" s="40">
        <v>0</v>
      </c>
      <c r="AO84" s="40">
        <v>81.25</v>
      </c>
      <c r="AP84" s="15">
        <v>27</v>
      </c>
      <c r="AQ84" s="15">
        <v>3</v>
      </c>
      <c r="AR84" s="15">
        <v>21</v>
      </c>
      <c r="AS84" s="15">
        <v>3</v>
      </c>
      <c r="AT84" s="15">
        <v>38</v>
      </c>
      <c r="AU84" s="15">
        <v>1</v>
      </c>
      <c r="AV84" s="15">
        <v>36</v>
      </c>
      <c r="AW84" s="15">
        <v>2</v>
      </c>
      <c r="AX84" s="15">
        <v>46</v>
      </c>
      <c r="AY84" s="15">
        <v>3</v>
      </c>
      <c r="AZ84" s="15">
        <v>46</v>
      </c>
      <c r="BA84" s="15">
        <v>4</v>
      </c>
      <c r="BB84" s="15">
        <v>50</v>
      </c>
      <c r="BC84" s="15">
        <v>2</v>
      </c>
      <c r="BD84" s="15">
        <v>51</v>
      </c>
      <c r="BE84" s="16">
        <v>3</v>
      </c>
      <c r="BF84" s="16">
        <v>13</v>
      </c>
      <c r="BG84" s="16">
        <v>8</v>
      </c>
      <c r="BH84" s="16">
        <v>11</v>
      </c>
      <c r="BI84" s="16">
        <v>8</v>
      </c>
      <c r="BJ84" s="16">
        <v>18</v>
      </c>
      <c r="BK84" s="16">
        <v>26</v>
      </c>
      <c r="BL84" s="16">
        <v>4</v>
      </c>
      <c r="BM84" s="16">
        <v>10</v>
      </c>
      <c r="BN84" s="16">
        <v>9</v>
      </c>
      <c r="BO84" s="16">
        <v>6</v>
      </c>
      <c r="BP84" s="16">
        <v>5</v>
      </c>
      <c r="BQ84" s="16">
        <v>34</v>
      </c>
      <c r="BR84" s="16">
        <v>4</v>
      </c>
      <c r="BS84" s="16">
        <v>6</v>
      </c>
      <c r="BT84" s="16">
        <v>19</v>
      </c>
      <c r="BU84" s="16">
        <v>104</v>
      </c>
      <c r="BV84" s="16">
        <v>123</v>
      </c>
      <c r="BW84" s="16">
        <v>28</v>
      </c>
      <c r="BX84" s="16">
        <v>0</v>
      </c>
      <c r="BY84" s="16">
        <v>19</v>
      </c>
      <c r="BZ84" s="15">
        <v>248</v>
      </c>
      <c r="CA84" s="40">
        <v>1</v>
      </c>
      <c r="CB84" s="40">
        <v>2</v>
      </c>
      <c r="CC84" s="40">
        <v>0</v>
      </c>
      <c r="CD84" s="40">
        <v>38</v>
      </c>
      <c r="CE84" s="40">
        <v>108</v>
      </c>
      <c r="CF84" s="40">
        <v>146</v>
      </c>
      <c r="CG84" s="40">
        <v>8</v>
      </c>
      <c r="CH84" s="40">
        <v>8</v>
      </c>
      <c r="CI84" s="40">
        <v>16</v>
      </c>
      <c r="CJ84" s="40">
        <v>0</v>
      </c>
      <c r="CK84" s="40">
        <v>67</v>
      </c>
      <c r="CL84" s="40">
        <v>61</v>
      </c>
      <c r="CM84" s="40">
        <v>91.04</v>
      </c>
      <c r="CN84" s="40">
        <v>28</v>
      </c>
      <c r="CO84" s="40">
        <v>43</v>
      </c>
      <c r="CP84" s="40">
        <v>71</v>
      </c>
      <c r="CQ84" s="40">
        <v>7</v>
      </c>
      <c r="CR84" s="40">
        <v>7</v>
      </c>
      <c r="CS84" s="40">
        <v>3</v>
      </c>
      <c r="CT84" s="40">
        <v>38</v>
      </c>
      <c r="CU84" s="40">
        <v>36</v>
      </c>
      <c r="CV84" s="40">
        <v>94.74</v>
      </c>
      <c r="CW84" s="19">
        <f t="shared" si="5"/>
        <v>10</v>
      </c>
      <c r="CX84" s="19">
        <f t="shared" si="6"/>
        <v>6</v>
      </c>
      <c r="CY84" s="19">
        <f t="shared" si="7"/>
        <v>0</v>
      </c>
      <c r="CZ84" s="19">
        <f t="shared" si="8"/>
        <v>2</v>
      </c>
    </row>
    <row r="85" spans="1:104" ht="15.75" customHeight="1" x14ac:dyDescent="0.35">
      <c r="A85" s="15" t="s">
        <v>203</v>
      </c>
      <c r="B85" s="16">
        <v>2</v>
      </c>
      <c r="C85" s="15" t="s">
        <v>109</v>
      </c>
      <c r="D85" s="16">
        <v>6</v>
      </c>
      <c r="E85" s="15">
        <v>0</v>
      </c>
      <c r="F85" s="15" t="s">
        <v>188</v>
      </c>
      <c r="G85" s="15" t="s">
        <v>107</v>
      </c>
      <c r="H85" s="15">
        <v>2</v>
      </c>
      <c r="I85" s="15">
        <v>1</v>
      </c>
      <c r="J85" s="17"/>
      <c r="K85" s="16">
        <v>4</v>
      </c>
      <c r="L85" s="16">
        <v>0</v>
      </c>
      <c r="M85" s="16">
        <v>28</v>
      </c>
      <c r="N85" s="16">
        <v>113</v>
      </c>
      <c r="O85" s="16">
        <v>141</v>
      </c>
      <c r="P85" s="16">
        <v>21</v>
      </c>
      <c r="Q85" s="16">
        <v>4</v>
      </c>
      <c r="R85" s="16">
        <v>15</v>
      </c>
      <c r="S85" s="15">
        <v>371</v>
      </c>
      <c r="T85" s="19">
        <v>2</v>
      </c>
      <c r="U85" s="19">
        <v>4</v>
      </c>
      <c r="V85" s="19">
        <v>1</v>
      </c>
      <c r="W85" s="19">
        <v>33</v>
      </c>
      <c r="X85" s="19">
        <v>180</v>
      </c>
      <c r="Y85" s="19">
        <v>213</v>
      </c>
      <c r="Z85" s="19">
        <v>8</v>
      </c>
      <c r="AA85" s="19">
        <v>8</v>
      </c>
      <c r="AB85" s="19">
        <v>16</v>
      </c>
      <c r="AC85" s="19">
        <v>0</v>
      </c>
      <c r="AD85" s="19">
        <v>71</v>
      </c>
      <c r="AE85" s="19">
        <v>61</v>
      </c>
      <c r="AF85" s="19">
        <v>85.92</v>
      </c>
      <c r="AG85" s="19">
        <v>0</v>
      </c>
      <c r="AH85" s="19">
        <v>0</v>
      </c>
      <c r="AI85" s="19">
        <v>0</v>
      </c>
      <c r="AJ85" s="19">
        <v>2</v>
      </c>
      <c r="AK85" s="19">
        <v>0</v>
      </c>
      <c r="AL85" s="19">
        <v>2</v>
      </c>
      <c r="AM85" s="19">
        <v>0</v>
      </c>
      <c r="AN85" s="19">
        <v>0</v>
      </c>
      <c r="AO85" s="19">
        <v>100</v>
      </c>
      <c r="AP85" s="15">
        <v>24</v>
      </c>
      <c r="AQ85" s="15">
        <v>2</v>
      </c>
      <c r="AR85" s="15">
        <v>26</v>
      </c>
      <c r="AS85" s="15">
        <v>1</v>
      </c>
      <c r="AT85" s="16">
        <v>37</v>
      </c>
      <c r="AU85" s="16"/>
      <c r="AV85" s="15">
        <v>43</v>
      </c>
      <c r="AW85" s="15">
        <v>1</v>
      </c>
      <c r="AX85" s="16">
        <v>47</v>
      </c>
      <c r="AY85" s="16"/>
      <c r="AZ85" s="15">
        <v>56</v>
      </c>
      <c r="BA85" s="15">
        <v>1</v>
      </c>
      <c r="BB85" s="16">
        <v>46</v>
      </c>
      <c r="BC85" s="16"/>
      <c r="BD85" s="16">
        <v>49</v>
      </c>
      <c r="BE85" s="16"/>
      <c r="BF85" s="16">
        <v>12</v>
      </c>
      <c r="BG85" s="16">
        <v>6</v>
      </c>
      <c r="BH85" s="16">
        <v>18</v>
      </c>
      <c r="BI85" s="16">
        <v>9</v>
      </c>
      <c r="BJ85" s="16">
        <v>9</v>
      </c>
      <c r="BK85" s="16">
        <v>18</v>
      </c>
      <c r="BL85" s="16">
        <v>4</v>
      </c>
      <c r="BM85" s="16">
        <v>9</v>
      </c>
      <c r="BN85" s="16">
        <v>10</v>
      </c>
      <c r="BO85" s="16">
        <v>5</v>
      </c>
      <c r="BP85" s="16">
        <v>4</v>
      </c>
      <c r="BQ85" s="16">
        <v>32</v>
      </c>
      <c r="BR85" s="16">
        <v>3</v>
      </c>
      <c r="BS85" s="16">
        <v>0</v>
      </c>
      <c r="BT85" s="16">
        <v>21</v>
      </c>
      <c r="BU85" s="16">
        <v>111</v>
      </c>
      <c r="BV85" s="16">
        <v>132</v>
      </c>
      <c r="BW85" s="16">
        <v>23</v>
      </c>
      <c r="BX85" s="16">
        <v>3</v>
      </c>
      <c r="BY85" s="16">
        <v>25</v>
      </c>
      <c r="BZ85" s="15">
        <v>215</v>
      </c>
      <c r="CA85" s="40">
        <v>2</v>
      </c>
      <c r="CB85" s="40">
        <v>3</v>
      </c>
      <c r="CC85" s="40">
        <v>2</v>
      </c>
      <c r="CD85" s="40">
        <v>24</v>
      </c>
      <c r="CE85" s="40">
        <v>134</v>
      </c>
      <c r="CF85" s="40">
        <v>158</v>
      </c>
      <c r="CG85" s="40">
        <v>8</v>
      </c>
      <c r="CH85" s="40">
        <v>8</v>
      </c>
      <c r="CI85" s="40">
        <v>16</v>
      </c>
      <c r="CJ85" s="40">
        <v>0</v>
      </c>
      <c r="CK85" s="40">
        <v>71</v>
      </c>
      <c r="CL85" s="40">
        <v>61</v>
      </c>
      <c r="CM85" s="40">
        <v>85.92</v>
      </c>
      <c r="CN85" s="40">
        <v>24</v>
      </c>
      <c r="CO85" s="40">
        <v>77</v>
      </c>
      <c r="CP85" s="40">
        <v>101</v>
      </c>
      <c r="CQ85" s="40">
        <v>8</v>
      </c>
      <c r="CR85" s="40">
        <v>9</v>
      </c>
      <c r="CS85" s="40">
        <v>3</v>
      </c>
      <c r="CT85" s="40">
        <v>53</v>
      </c>
      <c r="CU85" s="40">
        <v>47</v>
      </c>
      <c r="CV85" s="40">
        <v>88.68</v>
      </c>
      <c r="CW85" s="19">
        <f t="shared" si="5"/>
        <v>10</v>
      </c>
      <c r="CX85" s="19">
        <f t="shared" si="6"/>
        <v>10</v>
      </c>
      <c r="CY85" s="19">
        <f t="shared" si="7"/>
        <v>0</v>
      </c>
      <c r="CZ85" s="19">
        <f t="shared" si="8"/>
        <v>6</v>
      </c>
    </row>
    <row r="86" spans="1:104" ht="15.75" customHeight="1" x14ac:dyDescent="0.35">
      <c r="A86" s="15" t="s">
        <v>204</v>
      </c>
      <c r="B86" s="16">
        <v>1</v>
      </c>
      <c r="C86" s="15" t="s">
        <v>105</v>
      </c>
      <c r="D86" s="16">
        <v>7</v>
      </c>
      <c r="E86" s="15">
        <v>1</v>
      </c>
      <c r="F86" s="15" t="s">
        <v>188</v>
      </c>
      <c r="G86" s="15" t="s">
        <v>107</v>
      </c>
      <c r="H86" s="15">
        <v>2</v>
      </c>
      <c r="I86" s="15">
        <v>3</v>
      </c>
      <c r="J86" s="15" t="s">
        <v>205</v>
      </c>
      <c r="K86" s="16">
        <v>3</v>
      </c>
      <c r="L86" s="16">
        <v>3</v>
      </c>
      <c r="M86" s="16">
        <v>48</v>
      </c>
      <c r="N86" s="16">
        <v>165</v>
      </c>
      <c r="O86" s="16">
        <v>213</v>
      </c>
      <c r="P86" s="16">
        <v>29</v>
      </c>
      <c r="Q86" s="16">
        <v>2</v>
      </c>
      <c r="R86" s="16">
        <v>17</v>
      </c>
      <c r="S86" s="15">
        <v>567</v>
      </c>
      <c r="T86" s="40">
        <v>3</v>
      </c>
      <c r="U86" s="40">
        <v>4</v>
      </c>
      <c r="V86" s="40">
        <v>2</v>
      </c>
      <c r="W86" s="40">
        <v>110</v>
      </c>
      <c r="X86" s="40">
        <v>286</v>
      </c>
      <c r="Y86" s="40">
        <v>396</v>
      </c>
      <c r="Z86" s="40">
        <v>8</v>
      </c>
      <c r="AA86" s="40">
        <v>8</v>
      </c>
      <c r="AB86" s="40">
        <v>16</v>
      </c>
      <c r="AC86" s="40">
        <v>0</v>
      </c>
      <c r="AD86" s="40">
        <v>67</v>
      </c>
      <c r="AE86" s="40">
        <v>61</v>
      </c>
      <c r="AF86" s="40">
        <v>91.04</v>
      </c>
      <c r="AG86" s="40">
        <v>0</v>
      </c>
      <c r="AH86" s="40">
        <v>0</v>
      </c>
      <c r="AI86" s="40">
        <v>0</v>
      </c>
      <c r="AJ86" s="40">
        <v>2</v>
      </c>
      <c r="AK86" s="40">
        <v>0</v>
      </c>
      <c r="AL86" s="40">
        <v>2</v>
      </c>
      <c r="AM86" s="40">
        <v>0</v>
      </c>
      <c r="AN86" s="40">
        <v>0</v>
      </c>
      <c r="AO86" s="40">
        <v>100</v>
      </c>
      <c r="AP86" s="15">
        <v>27</v>
      </c>
      <c r="AQ86" s="15">
        <v>1</v>
      </c>
      <c r="AR86" s="16">
        <v>16</v>
      </c>
      <c r="AS86" s="16"/>
      <c r="AT86" s="15">
        <v>35</v>
      </c>
      <c r="AU86" s="15">
        <v>2</v>
      </c>
      <c r="AV86" s="15">
        <v>41</v>
      </c>
      <c r="AW86" s="15">
        <v>1</v>
      </c>
      <c r="AX86" s="15">
        <v>29</v>
      </c>
      <c r="AY86" s="15">
        <v>1</v>
      </c>
      <c r="AZ86" s="15">
        <v>51</v>
      </c>
      <c r="BA86" s="15">
        <v>1</v>
      </c>
      <c r="BB86" s="16">
        <v>40</v>
      </c>
      <c r="BC86" s="16"/>
      <c r="BD86" s="16">
        <v>51</v>
      </c>
      <c r="BE86" s="16"/>
      <c r="BF86" s="16">
        <v>8</v>
      </c>
      <c r="BG86" s="16">
        <v>6</v>
      </c>
      <c r="BH86" s="16">
        <v>14</v>
      </c>
      <c r="BI86" s="16">
        <v>14</v>
      </c>
      <c r="BJ86" s="16">
        <v>8</v>
      </c>
      <c r="BK86" s="16">
        <v>22</v>
      </c>
      <c r="BL86" s="16">
        <v>12</v>
      </c>
      <c r="BM86" s="16">
        <v>22</v>
      </c>
      <c r="BN86" s="16">
        <v>21</v>
      </c>
      <c r="BO86" s="16">
        <v>12</v>
      </c>
      <c r="BP86" s="16">
        <v>9</v>
      </c>
      <c r="BQ86" s="16">
        <v>76</v>
      </c>
      <c r="BR86" s="16">
        <v>4</v>
      </c>
      <c r="BS86" s="16">
        <v>3</v>
      </c>
      <c r="BT86" s="16">
        <v>64</v>
      </c>
      <c r="BU86" s="16">
        <v>78</v>
      </c>
      <c r="BV86" s="16">
        <v>142</v>
      </c>
      <c r="BW86" s="16">
        <v>24</v>
      </c>
      <c r="BX86" s="16">
        <v>0</v>
      </c>
      <c r="BY86" s="16">
        <v>19</v>
      </c>
      <c r="BZ86" s="15">
        <v>277</v>
      </c>
      <c r="CA86" s="40">
        <v>4</v>
      </c>
      <c r="CB86" s="40">
        <v>6</v>
      </c>
      <c r="CC86" s="40">
        <v>3</v>
      </c>
      <c r="CD86" s="40">
        <v>31</v>
      </c>
      <c r="CE86" s="40">
        <v>150</v>
      </c>
      <c r="CF86" s="40">
        <v>181</v>
      </c>
      <c r="CG86" s="40">
        <v>8</v>
      </c>
      <c r="CH86" s="40">
        <v>9</v>
      </c>
      <c r="CI86" s="40">
        <v>15</v>
      </c>
      <c r="CJ86" s="40">
        <v>1</v>
      </c>
      <c r="CK86" s="40">
        <v>60</v>
      </c>
      <c r="CL86" s="40">
        <v>60</v>
      </c>
      <c r="CM86" s="40">
        <v>100</v>
      </c>
      <c r="CN86" s="40">
        <v>8</v>
      </c>
      <c r="CO86" s="40">
        <v>42</v>
      </c>
      <c r="CP86" s="40">
        <v>50</v>
      </c>
      <c r="CQ86" s="40">
        <v>5</v>
      </c>
      <c r="CR86" s="40">
        <v>3</v>
      </c>
      <c r="CS86" s="40">
        <v>3</v>
      </c>
      <c r="CT86" s="40">
        <v>19</v>
      </c>
      <c r="CU86" s="40">
        <v>19</v>
      </c>
      <c r="CV86" s="40">
        <v>100</v>
      </c>
      <c r="CW86" s="19">
        <f t="shared" si="5"/>
        <v>6</v>
      </c>
      <c r="CX86" s="19">
        <f t="shared" si="6"/>
        <v>0</v>
      </c>
      <c r="CY86" s="19">
        <f t="shared" si="7"/>
        <v>0</v>
      </c>
      <c r="CZ86" s="19">
        <f t="shared" si="8"/>
        <v>0</v>
      </c>
    </row>
    <row r="87" spans="1:104" ht="15.75" customHeight="1" x14ac:dyDescent="0.35">
      <c r="A87" s="15" t="s">
        <v>206</v>
      </c>
      <c r="B87" s="16">
        <v>1</v>
      </c>
      <c r="C87" s="15" t="s">
        <v>109</v>
      </c>
      <c r="D87" s="16">
        <v>7</v>
      </c>
      <c r="E87" s="15">
        <v>1</v>
      </c>
      <c r="F87" s="15" t="s">
        <v>188</v>
      </c>
      <c r="G87" s="15" t="s">
        <v>107</v>
      </c>
      <c r="H87" s="15">
        <v>2</v>
      </c>
      <c r="I87" s="15">
        <v>3</v>
      </c>
      <c r="J87" s="17"/>
      <c r="K87" s="16">
        <v>4</v>
      </c>
      <c r="L87" s="16">
        <v>4</v>
      </c>
      <c r="M87" s="16">
        <v>37</v>
      </c>
      <c r="N87" s="16">
        <v>164</v>
      </c>
      <c r="O87" s="16">
        <v>201</v>
      </c>
      <c r="P87" s="16">
        <v>26</v>
      </c>
      <c r="Q87" s="16">
        <v>3</v>
      </c>
      <c r="R87" s="16">
        <v>21</v>
      </c>
      <c r="S87" s="15">
        <v>350</v>
      </c>
      <c r="T87" s="40">
        <v>2</v>
      </c>
      <c r="U87" s="40">
        <v>4</v>
      </c>
      <c r="V87" s="40">
        <v>1</v>
      </c>
      <c r="W87" s="40">
        <v>56</v>
      </c>
      <c r="X87" s="40">
        <v>252</v>
      </c>
      <c r="Y87" s="40">
        <v>308</v>
      </c>
      <c r="Z87" s="40">
        <v>8</v>
      </c>
      <c r="AA87" s="40">
        <v>8</v>
      </c>
      <c r="AB87" s="40">
        <v>16</v>
      </c>
      <c r="AC87" s="40">
        <v>0</v>
      </c>
      <c r="AD87" s="40">
        <v>69</v>
      </c>
      <c r="AE87" s="40">
        <v>61</v>
      </c>
      <c r="AF87" s="40">
        <v>88.41</v>
      </c>
      <c r="AG87" s="40">
        <v>27</v>
      </c>
      <c r="AH87" s="40">
        <v>25</v>
      </c>
      <c r="AI87" s="40">
        <v>52</v>
      </c>
      <c r="AJ87" s="40">
        <v>4</v>
      </c>
      <c r="AK87" s="40">
        <v>4</v>
      </c>
      <c r="AL87" s="40">
        <v>2</v>
      </c>
      <c r="AM87" s="40">
        <v>24</v>
      </c>
      <c r="AN87" s="40">
        <v>18</v>
      </c>
      <c r="AO87" s="40">
        <v>75</v>
      </c>
      <c r="AP87" s="15">
        <v>35</v>
      </c>
      <c r="AQ87" s="15">
        <v>3</v>
      </c>
      <c r="AR87" s="15">
        <v>38</v>
      </c>
      <c r="AS87" s="15">
        <v>9</v>
      </c>
      <c r="AT87" s="15">
        <v>48</v>
      </c>
      <c r="AU87" s="15">
        <v>3</v>
      </c>
      <c r="AV87" s="15">
        <v>43</v>
      </c>
      <c r="AW87" s="15">
        <v>1</v>
      </c>
      <c r="AX87" s="16">
        <v>51</v>
      </c>
      <c r="AY87" s="16"/>
      <c r="AZ87" s="16">
        <v>54</v>
      </c>
      <c r="BA87" s="16"/>
      <c r="BB87" s="16">
        <v>61</v>
      </c>
      <c r="BC87" s="16"/>
      <c r="BD87" s="16">
        <v>60</v>
      </c>
      <c r="BE87" s="16"/>
      <c r="BF87" s="16">
        <v>8</v>
      </c>
      <c r="BG87" s="16">
        <v>6</v>
      </c>
      <c r="BH87" s="16">
        <v>14</v>
      </c>
      <c r="BI87" s="16">
        <v>8</v>
      </c>
      <c r="BJ87" s="16">
        <v>10</v>
      </c>
      <c r="BK87" s="16">
        <v>18</v>
      </c>
      <c r="BL87" s="16">
        <v>4</v>
      </c>
      <c r="BM87" s="16">
        <v>9</v>
      </c>
      <c r="BN87" s="16">
        <v>9</v>
      </c>
      <c r="BO87" s="16">
        <v>9</v>
      </c>
      <c r="BP87" s="16">
        <v>6</v>
      </c>
      <c r="BQ87" s="16">
        <v>37</v>
      </c>
      <c r="BR87" s="16">
        <v>4</v>
      </c>
      <c r="BS87" s="16">
        <v>5</v>
      </c>
      <c r="BT87" s="16">
        <v>65</v>
      </c>
      <c r="BU87" s="16">
        <v>126</v>
      </c>
      <c r="BV87" s="16">
        <v>191</v>
      </c>
      <c r="BW87" s="16">
        <v>26</v>
      </c>
      <c r="BX87" s="16">
        <v>0</v>
      </c>
      <c r="BY87" s="16">
        <v>21</v>
      </c>
      <c r="BZ87" s="15">
        <v>331</v>
      </c>
      <c r="CA87" s="40">
        <v>3</v>
      </c>
      <c r="CB87" s="40">
        <v>5</v>
      </c>
      <c r="CC87" s="40">
        <v>3</v>
      </c>
      <c r="CD87" s="40">
        <v>57</v>
      </c>
      <c r="CE87" s="40">
        <v>159</v>
      </c>
      <c r="CF87" s="40">
        <v>216</v>
      </c>
      <c r="CG87" s="40">
        <v>8</v>
      </c>
      <c r="CH87" s="40">
        <v>8</v>
      </c>
      <c r="CI87" s="40">
        <v>16</v>
      </c>
      <c r="CJ87" s="40">
        <v>0</v>
      </c>
      <c r="CK87" s="40">
        <v>77</v>
      </c>
      <c r="CL87" s="40">
        <v>61</v>
      </c>
      <c r="CM87" s="40">
        <v>79.22</v>
      </c>
      <c r="CN87" s="40">
        <v>27</v>
      </c>
      <c r="CO87" s="40">
        <v>25</v>
      </c>
      <c r="CP87" s="40">
        <v>52</v>
      </c>
      <c r="CQ87" s="40">
        <v>4</v>
      </c>
      <c r="CR87" s="40">
        <v>4</v>
      </c>
      <c r="CS87" s="40">
        <v>2</v>
      </c>
      <c r="CT87" s="40">
        <v>24</v>
      </c>
      <c r="CU87" s="40">
        <v>18</v>
      </c>
      <c r="CV87" s="40">
        <v>75</v>
      </c>
      <c r="CW87" s="19">
        <f t="shared" si="5"/>
        <v>8</v>
      </c>
      <c r="CX87" s="19">
        <f t="shared" si="6"/>
        <v>16</v>
      </c>
      <c r="CY87" s="19">
        <f t="shared" si="7"/>
        <v>6</v>
      </c>
      <c r="CZ87" s="19">
        <f t="shared" si="8"/>
        <v>6</v>
      </c>
    </row>
    <row r="88" spans="1:104" ht="15.75" customHeight="1" x14ac:dyDescent="0.35">
      <c r="A88" s="15" t="s">
        <v>207</v>
      </c>
      <c r="B88" s="16">
        <v>1</v>
      </c>
      <c r="C88" s="15" t="s">
        <v>105</v>
      </c>
      <c r="D88" s="16">
        <v>7</v>
      </c>
      <c r="E88" s="15">
        <v>1</v>
      </c>
      <c r="F88" s="15" t="s">
        <v>188</v>
      </c>
      <c r="G88" s="15" t="s">
        <v>107</v>
      </c>
      <c r="H88" s="15">
        <v>2</v>
      </c>
      <c r="I88" s="15">
        <v>3</v>
      </c>
      <c r="J88" s="17"/>
      <c r="K88" s="16">
        <v>5</v>
      </c>
      <c r="L88" s="16">
        <v>0</v>
      </c>
      <c r="M88" s="16">
        <v>85</v>
      </c>
      <c r="N88" s="16">
        <v>111</v>
      </c>
      <c r="O88" s="16">
        <v>196</v>
      </c>
      <c r="P88" s="16">
        <v>30</v>
      </c>
      <c r="Q88" s="16">
        <v>0</v>
      </c>
      <c r="R88" s="16">
        <v>29</v>
      </c>
      <c r="S88" s="15">
        <v>300</v>
      </c>
      <c r="T88" s="39">
        <v>3</v>
      </c>
      <c r="U88" s="39">
        <v>4</v>
      </c>
      <c r="V88" s="39">
        <v>4</v>
      </c>
      <c r="W88" s="39">
        <v>22</v>
      </c>
      <c r="X88" s="39">
        <v>97</v>
      </c>
      <c r="Y88" s="39">
        <v>119</v>
      </c>
      <c r="Z88" s="39">
        <v>8</v>
      </c>
      <c r="AA88" s="39">
        <v>8</v>
      </c>
      <c r="AB88" s="39">
        <v>16</v>
      </c>
      <c r="AC88" s="39">
        <v>0</v>
      </c>
      <c r="AD88" s="39">
        <v>71</v>
      </c>
      <c r="AE88" s="39">
        <v>61</v>
      </c>
      <c r="AF88" s="39" t="s">
        <v>208</v>
      </c>
      <c r="AG88" s="39">
        <v>15</v>
      </c>
      <c r="AH88" s="39">
        <v>57</v>
      </c>
      <c r="AI88" s="39">
        <v>72</v>
      </c>
      <c r="AJ88" s="39">
        <v>6</v>
      </c>
      <c r="AK88" s="39">
        <v>8</v>
      </c>
      <c r="AL88" s="39">
        <v>2</v>
      </c>
      <c r="AM88" s="39">
        <v>38</v>
      </c>
      <c r="AN88" s="39">
        <v>36</v>
      </c>
      <c r="AO88" s="39" t="s">
        <v>209</v>
      </c>
      <c r="AP88" s="15">
        <v>33</v>
      </c>
      <c r="AQ88" s="15">
        <v>4</v>
      </c>
      <c r="AR88" s="15">
        <v>39</v>
      </c>
      <c r="AS88" s="15">
        <v>8</v>
      </c>
      <c r="AT88" s="15">
        <v>53</v>
      </c>
      <c r="AU88" s="15">
        <v>2</v>
      </c>
      <c r="AV88" s="15">
        <v>45</v>
      </c>
      <c r="AW88" s="15">
        <v>1</v>
      </c>
      <c r="AX88" s="16">
        <v>51</v>
      </c>
      <c r="AY88" s="16"/>
      <c r="AZ88" s="16">
        <v>57</v>
      </c>
      <c r="BA88" s="16"/>
      <c r="BB88" s="16">
        <v>63</v>
      </c>
      <c r="BC88" s="16"/>
      <c r="BD88" s="16">
        <v>60</v>
      </c>
      <c r="BE88" s="47"/>
      <c r="BF88" s="47" t="s">
        <v>200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6">
        <v>5</v>
      </c>
      <c r="BS88" s="16">
        <v>4</v>
      </c>
      <c r="BT88" s="16">
        <v>43</v>
      </c>
      <c r="BU88" s="16">
        <v>108</v>
      </c>
      <c r="BV88" s="16">
        <v>151</v>
      </c>
      <c r="BW88" s="16">
        <v>28</v>
      </c>
      <c r="BX88" s="16">
        <v>0</v>
      </c>
      <c r="BY88" s="16">
        <v>28</v>
      </c>
      <c r="BZ88" s="15">
        <v>225</v>
      </c>
      <c r="CA88" s="40">
        <v>3</v>
      </c>
      <c r="CB88" s="40">
        <v>4</v>
      </c>
      <c r="CC88" s="40">
        <v>4</v>
      </c>
      <c r="CD88" s="40">
        <v>32</v>
      </c>
      <c r="CE88" s="40">
        <v>105</v>
      </c>
      <c r="CF88" s="40">
        <v>137</v>
      </c>
      <c r="CG88" s="40">
        <v>8</v>
      </c>
      <c r="CH88" s="40">
        <v>8</v>
      </c>
      <c r="CI88" s="40">
        <v>16</v>
      </c>
      <c r="CJ88" s="40">
        <v>0</v>
      </c>
      <c r="CK88" s="40">
        <v>67</v>
      </c>
      <c r="CL88" s="40">
        <v>61</v>
      </c>
      <c r="CM88" s="40">
        <v>91.04</v>
      </c>
      <c r="CN88" s="40">
        <v>35</v>
      </c>
      <c r="CO88" s="40">
        <v>35</v>
      </c>
      <c r="CP88" s="40">
        <v>70</v>
      </c>
      <c r="CQ88" s="40">
        <v>7</v>
      </c>
      <c r="CR88" s="40">
        <v>7</v>
      </c>
      <c r="CS88" s="40">
        <v>3</v>
      </c>
      <c r="CT88" s="40">
        <v>44</v>
      </c>
      <c r="CU88" s="40">
        <v>38</v>
      </c>
      <c r="CV88" s="40">
        <v>86.36</v>
      </c>
      <c r="CW88" s="19">
        <f t="shared" si="5"/>
        <v>10</v>
      </c>
      <c r="CX88" s="19">
        <f t="shared" si="6"/>
        <v>6</v>
      </c>
      <c r="CY88" s="19">
        <f t="shared" si="7"/>
        <v>2</v>
      </c>
      <c r="CZ88" s="19">
        <f t="shared" si="8"/>
        <v>6</v>
      </c>
    </row>
    <row r="89" spans="1:104" ht="15.75" customHeight="1" x14ac:dyDescent="0.35">
      <c r="A89" s="15" t="s">
        <v>210</v>
      </c>
      <c r="B89" s="16">
        <v>1</v>
      </c>
      <c r="C89" s="15" t="s">
        <v>109</v>
      </c>
      <c r="D89" s="16">
        <v>7</v>
      </c>
      <c r="E89" s="15">
        <v>1</v>
      </c>
      <c r="F89" s="15" t="s">
        <v>188</v>
      </c>
      <c r="G89" s="15" t="s">
        <v>107</v>
      </c>
      <c r="H89" s="15">
        <v>2</v>
      </c>
      <c r="I89" s="15">
        <v>3</v>
      </c>
      <c r="J89" s="17"/>
      <c r="K89" s="16">
        <v>5</v>
      </c>
      <c r="L89" s="16">
        <v>0</v>
      </c>
      <c r="M89" s="16">
        <v>91</v>
      </c>
      <c r="N89" s="16">
        <v>138</v>
      </c>
      <c r="O89" s="16">
        <v>229</v>
      </c>
      <c r="P89" s="16">
        <v>25</v>
      </c>
      <c r="Q89" s="16">
        <v>2</v>
      </c>
      <c r="R89" s="16">
        <v>27</v>
      </c>
      <c r="S89" s="15">
        <v>380</v>
      </c>
      <c r="T89" s="39">
        <v>2</v>
      </c>
      <c r="U89" s="39">
        <v>4</v>
      </c>
      <c r="V89" s="39">
        <v>1</v>
      </c>
      <c r="W89" s="39">
        <v>39</v>
      </c>
      <c r="X89" s="39">
        <v>122</v>
      </c>
      <c r="Y89" s="39">
        <v>161</v>
      </c>
      <c r="Z89" s="39">
        <v>8</v>
      </c>
      <c r="AA89" s="39">
        <v>8</v>
      </c>
      <c r="AB89" s="39">
        <v>16</v>
      </c>
      <c r="AC89" s="39">
        <v>0</v>
      </c>
      <c r="AD89" s="39">
        <v>61</v>
      </c>
      <c r="AE89" s="39">
        <v>61</v>
      </c>
      <c r="AF89" s="39">
        <v>100</v>
      </c>
      <c r="AG89" s="48">
        <v>44457</v>
      </c>
      <c r="AH89" s="48">
        <v>-44401</v>
      </c>
      <c r="AI89" s="39">
        <v>56</v>
      </c>
      <c r="AJ89" s="39">
        <v>6</v>
      </c>
      <c r="AK89" s="39">
        <v>5</v>
      </c>
      <c r="AL89" s="39">
        <v>3</v>
      </c>
      <c r="AM89" s="39">
        <v>30</v>
      </c>
      <c r="AN89" s="39">
        <v>28</v>
      </c>
      <c r="AO89" s="39" t="s">
        <v>211</v>
      </c>
      <c r="AP89" s="15">
        <v>30</v>
      </c>
      <c r="AQ89" s="15">
        <v>4</v>
      </c>
      <c r="AR89" s="15">
        <v>40</v>
      </c>
      <c r="AS89" s="15">
        <v>8</v>
      </c>
      <c r="AT89" s="15">
        <v>43</v>
      </c>
      <c r="AU89" s="15">
        <v>3</v>
      </c>
      <c r="AV89" s="15">
        <v>59</v>
      </c>
      <c r="AW89" s="15">
        <v>1</v>
      </c>
      <c r="AX89" s="15">
        <v>44</v>
      </c>
      <c r="AY89" s="15">
        <v>1</v>
      </c>
      <c r="AZ89" s="15">
        <v>46</v>
      </c>
      <c r="BA89" s="15">
        <v>2</v>
      </c>
      <c r="BB89" s="16">
        <v>57</v>
      </c>
      <c r="BC89" s="16"/>
      <c r="BD89" s="15">
        <v>55</v>
      </c>
      <c r="BE89" s="16">
        <v>1</v>
      </c>
      <c r="BF89" s="16">
        <v>10</v>
      </c>
      <c r="BG89" s="16">
        <v>5</v>
      </c>
      <c r="BH89" s="16">
        <v>15</v>
      </c>
      <c r="BI89" s="16">
        <v>13</v>
      </c>
      <c r="BJ89" s="16">
        <v>8</v>
      </c>
      <c r="BK89" s="16">
        <v>21</v>
      </c>
      <c r="BL89" s="16">
        <v>4</v>
      </c>
      <c r="BM89" s="16">
        <v>8</v>
      </c>
      <c r="BN89" s="16">
        <v>8</v>
      </c>
      <c r="BO89" s="16">
        <v>8</v>
      </c>
      <c r="BP89" s="16">
        <v>5</v>
      </c>
      <c r="BQ89" s="16">
        <v>33</v>
      </c>
      <c r="BR89" s="16">
        <v>4</v>
      </c>
      <c r="BS89" s="16">
        <v>0</v>
      </c>
      <c r="BT89" s="16">
        <v>33</v>
      </c>
      <c r="BU89" s="16">
        <v>82</v>
      </c>
      <c r="BV89" s="16">
        <v>115</v>
      </c>
      <c r="BW89" s="16">
        <v>22</v>
      </c>
      <c r="BX89" s="16">
        <v>0</v>
      </c>
      <c r="BY89" s="16">
        <v>26</v>
      </c>
      <c r="BZ89" s="15">
        <v>306</v>
      </c>
      <c r="CA89" s="40">
        <v>4</v>
      </c>
      <c r="CB89" s="40">
        <v>5</v>
      </c>
      <c r="CC89" s="40">
        <v>2</v>
      </c>
      <c r="CD89" s="40">
        <v>9</v>
      </c>
      <c r="CE89" s="40">
        <v>29</v>
      </c>
      <c r="CF89" s="40">
        <v>38</v>
      </c>
      <c r="CG89" s="40">
        <v>1</v>
      </c>
      <c r="CH89" s="40">
        <v>1</v>
      </c>
      <c r="CI89" s="40">
        <v>2</v>
      </c>
      <c r="CJ89" s="40">
        <v>0</v>
      </c>
      <c r="CK89" s="40">
        <v>11</v>
      </c>
      <c r="CL89" s="40">
        <v>7</v>
      </c>
      <c r="CM89" s="40">
        <v>63.64</v>
      </c>
      <c r="CN89" s="40">
        <v>24</v>
      </c>
      <c r="CO89" s="40">
        <v>0</v>
      </c>
      <c r="CP89" s="40">
        <v>24</v>
      </c>
      <c r="CQ89" s="40">
        <v>4</v>
      </c>
      <c r="CR89" s="40">
        <v>1</v>
      </c>
      <c r="CS89" s="40">
        <v>3</v>
      </c>
      <c r="CT89" s="40">
        <v>13</v>
      </c>
      <c r="CU89" s="40">
        <v>9</v>
      </c>
      <c r="CV89" s="40">
        <v>69.23</v>
      </c>
      <c r="CW89" s="19">
        <f t="shared" si="5"/>
        <v>0</v>
      </c>
      <c r="CX89" s="19">
        <f t="shared" si="6"/>
        <v>4</v>
      </c>
      <c r="CY89" s="19">
        <f t="shared" si="7"/>
        <v>2</v>
      </c>
      <c r="CZ89" s="19">
        <f t="shared" si="8"/>
        <v>4</v>
      </c>
    </row>
    <row r="90" spans="1:104" ht="15.75" customHeight="1" x14ac:dyDescent="0.35">
      <c r="A90" s="15" t="s">
        <v>212</v>
      </c>
      <c r="B90" s="16">
        <v>1</v>
      </c>
      <c r="C90" s="15" t="s">
        <v>105</v>
      </c>
      <c r="D90" s="16">
        <v>7</v>
      </c>
      <c r="E90" s="15">
        <v>1</v>
      </c>
      <c r="F90" s="15" t="s">
        <v>188</v>
      </c>
      <c r="G90" s="15" t="s">
        <v>107</v>
      </c>
      <c r="H90" s="15">
        <v>2</v>
      </c>
      <c r="I90" s="15">
        <v>3</v>
      </c>
      <c r="J90" s="17"/>
      <c r="K90" s="16">
        <v>5</v>
      </c>
      <c r="L90" s="16">
        <v>0</v>
      </c>
      <c r="M90" s="16">
        <v>55</v>
      </c>
      <c r="N90" s="16">
        <v>214</v>
      </c>
      <c r="O90" s="16">
        <v>269</v>
      </c>
      <c r="P90" s="53"/>
      <c r="Q90" s="16">
        <v>0</v>
      </c>
      <c r="R90" s="16">
        <v>29</v>
      </c>
      <c r="S90" s="15">
        <v>480</v>
      </c>
      <c r="T90" s="40">
        <v>3</v>
      </c>
      <c r="U90" s="40">
        <v>6</v>
      </c>
      <c r="V90" s="40">
        <v>2</v>
      </c>
      <c r="W90" s="40">
        <v>65</v>
      </c>
      <c r="X90" s="40">
        <v>175</v>
      </c>
      <c r="Y90" s="40">
        <v>240</v>
      </c>
      <c r="Z90" s="40">
        <v>8</v>
      </c>
      <c r="AA90" s="40">
        <v>8</v>
      </c>
      <c r="AB90" s="40">
        <v>16</v>
      </c>
      <c r="AC90" s="40">
        <v>0</v>
      </c>
      <c r="AD90" s="40">
        <v>63</v>
      </c>
      <c r="AE90" s="40">
        <v>61</v>
      </c>
      <c r="AF90" s="40">
        <v>96.83</v>
      </c>
      <c r="AG90" s="40">
        <v>35</v>
      </c>
      <c r="AH90" s="40">
        <v>118</v>
      </c>
      <c r="AI90" s="40">
        <v>153</v>
      </c>
      <c r="AJ90" s="40">
        <v>10</v>
      </c>
      <c r="AK90" s="40">
        <v>7</v>
      </c>
      <c r="AL90" s="40">
        <v>5</v>
      </c>
      <c r="AM90" s="40">
        <v>51</v>
      </c>
      <c r="AN90" s="40">
        <v>45</v>
      </c>
      <c r="AO90" s="40">
        <v>88.24</v>
      </c>
      <c r="AP90" s="15">
        <v>24</v>
      </c>
      <c r="AQ90" s="15">
        <v>7</v>
      </c>
      <c r="AR90" s="15">
        <v>43</v>
      </c>
      <c r="AS90" s="15">
        <v>7</v>
      </c>
      <c r="AT90" s="15">
        <v>53</v>
      </c>
      <c r="AU90" s="15">
        <v>2</v>
      </c>
      <c r="AV90" s="15">
        <v>45</v>
      </c>
      <c r="AW90" s="15">
        <v>1</v>
      </c>
      <c r="AX90" s="15">
        <v>40</v>
      </c>
      <c r="AY90" s="15">
        <v>3</v>
      </c>
      <c r="AZ90" s="16">
        <v>57</v>
      </c>
      <c r="BA90" s="16"/>
      <c r="BB90" s="16">
        <v>63</v>
      </c>
      <c r="BC90" s="16"/>
      <c r="BD90" s="16">
        <v>60</v>
      </c>
      <c r="BE90" s="16"/>
      <c r="BF90" s="16">
        <v>8</v>
      </c>
      <c r="BG90" s="16">
        <v>7</v>
      </c>
      <c r="BH90" s="16">
        <v>15</v>
      </c>
      <c r="BI90" s="16">
        <v>12</v>
      </c>
      <c r="BJ90" s="16">
        <v>9</v>
      </c>
      <c r="BK90" s="16">
        <v>21</v>
      </c>
      <c r="BL90" s="16">
        <v>7</v>
      </c>
      <c r="BM90" s="16">
        <v>11</v>
      </c>
      <c r="BN90" s="16">
        <v>10</v>
      </c>
      <c r="BO90" s="16">
        <v>8</v>
      </c>
      <c r="BP90" s="16">
        <v>5</v>
      </c>
      <c r="BQ90" s="16">
        <v>41</v>
      </c>
      <c r="BR90" s="16">
        <v>5</v>
      </c>
      <c r="BS90" s="16">
        <v>4</v>
      </c>
      <c r="BT90" s="16">
        <v>95</v>
      </c>
      <c r="BU90" s="16">
        <v>156</v>
      </c>
      <c r="BV90" s="16">
        <v>251</v>
      </c>
      <c r="BW90" s="16">
        <v>29</v>
      </c>
      <c r="BX90" s="16">
        <v>0</v>
      </c>
      <c r="BY90" s="16">
        <v>28</v>
      </c>
      <c r="BZ90" s="15">
        <v>313</v>
      </c>
      <c r="CA90" s="40">
        <v>3</v>
      </c>
      <c r="CB90" s="40">
        <v>5</v>
      </c>
      <c r="CC90" s="40">
        <v>3</v>
      </c>
      <c r="CD90" s="40">
        <v>47</v>
      </c>
      <c r="CE90" s="40">
        <v>147</v>
      </c>
      <c r="CF90" s="40">
        <v>194</v>
      </c>
      <c r="CG90" s="40">
        <v>8</v>
      </c>
      <c r="CH90" s="40">
        <v>8</v>
      </c>
      <c r="CI90" s="40">
        <v>16</v>
      </c>
      <c r="CJ90" s="40">
        <v>0</v>
      </c>
      <c r="CK90" s="49">
        <v>69</v>
      </c>
      <c r="CL90" s="40">
        <v>61</v>
      </c>
      <c r="CM90" s="40">
        <v>108.93</v>
      </c>
      <c r="CN90" s="40">
        <v>10</v>
      </c>
      <c r="CO90" s="40">
        <v>87</v>
      </c>
      <c r="CP90" s="40">
        <v>97</v>
      </c>
      <c r="CQ90" s="40">
        <v>5</v>
      </c>
      <c r="CR90" s="40">
        <v>6</v>
      </c>
      <c r="CS90" s="40">
        <v>2</v>
      </c>
      <c r="CT90" s="40">
        <v>30</v>
      </c>
      <c r="CU90" s="40">
        <v>28</v>
      </c>
      <c r="CV90" s="40">
        <v>93.33</v>
      </c>
      <c r="CW90" s="19">
        <f t="shared" si="5"/>
        <v>2</v>
      </c>
      <c r="CX90" s="19">
        <f t="shared" si="6"/>
        <v>8</v>
      </c>
      <c r="CY90" s="19">
        <f t="shared" si="7"/>
        <v>6</v>
      </c>
      <c r="CZ90" s="19">
        <f t="shared" si="8"/>
        <v>2</v>
      </c>
    </row>
    <row r="91" spans="1:104" ht="15.75" customHeight="1" x14ac:dyDescent="0.35">
      <c r="A91" s="50" t="s">
        <v>213</v>
      </c>
      <c r="B91" s="51">
        <v>1</v>
      </c>
      <c r="C91" s="50" t="s">
        <v>109</v>
      </c>
      <c r="D91" s="51">
        <v>7</v>
      </c>
      <c r="E91" s="50">
        <v>1</v>
      </c>
      <c r="F91" s="50" t="s">
        <v>188</v>
      </c>
      <c r="G91" s="50" t="s">
        <v>107</v>
      </c>
      <c r="H91" s="15">
        <v>2</v>
      </c>
      <c r="I91" s="50">
        <v>3</v>
      </c>
      <c r="J91" s="50" t="s">
        <v>214</v>
      </c>
      <c r="K91" s="51">
        <v>5</v>
      </c>
      <c r="L91" s="51">
        <v>0</v>
      </c>
      <c r="M91" s="51">
        <v>59</v>
      </c>
      <c r="N91" s="51">
        <v>114</v>
      </c>
      <c r="O91" s="51">
        <v>173</v>
      </c>
      <c r="P91" s="51">
        <v>21</v>
      </c>
      <c r="Q91" s="51">
        <v>8</v>
      </c>
      <c r="R91" s="51">
        <v>23</v>
      </c>
      <c r="S91" s="50">
        <v>360</v>
      </c>
      <c r="T91" s="42">
        <v>4</v>
      </c>
      <c r="U91" s="42">
        <v>7</v>
      </c>
      <c r="V91" s="42">
        <v>2</v>
      </c>
      <c r="W91" s="42">
        <v>27</v>
      </c>
      <c r="X91" s="42">
        <v>117</v>
      </c>
      <c r="Y91" s="42">
        <v>144</v>
      </c>
      <c r="Z91" s="42">
        <v>8</v>
      </c>
      <c r="AA91" s="42">
        <v>9</v>
      </c>
      <c r="AB91" s="42">
        <v>15</v>
      </c>
      <c r="AC91" s="42">
        <v>1</v>
      </c>
      <c r="AD91" s="42">
        <v>60</v>
      </c>
      <c r="AE91" s="42">
        <v>60</v>
      </c>
      <c r="AF91" s="42">
        <v>100</v>
      </c>
      <c r="AG91" s="42">
        <v>18</v>
      </c>
      <c r="AH91" s="42">
        <v>126</v>
      </c>
      <c r="AI91" s="42">
        <v>144</v>
      </c>
      <c r="AJ91" s="42">
        <v>7</v>
      </c>
      <c r="AK91" s="42">
        <v>7</v>
      </c>
      <c r="AL91" s="42">
        <v>3</v>
      </c>
      <c r="AM91" s="42">
        <v>46</v>
      </c>
      <c r="AN91" s="42">
        <v>34</v>
      </c>
      <c r="AO91" s="42">
        <v>73.91</v>
      </c>
      <c r="AP91" s="50">
        <v>26</v>
      </c>
      <c r="AQ91" s="50">
        <v>2</v>
      </c>
      <c r="AR91" s="50">
        <v>24</v>
      </c>
      <c r="AS91" s="50">
        <v>2</v>
      </c>
      <c r="AT91" s="50">
        <v>37</v>
      </c>
      <c r="AU91" s="50">
        <v>2</v>
      </c>
      <c r="AV91" s="50">
        <v>37</v>
      </c>
      <c r="AW91" s="50">
        <v>1</v>
      </c>
      <c r="AX91" s="50">
        <v>35</v>
      </c>
      <c r="AY91" s="50">
        <v>1</v>
      </c>
      <c r="AZ91" s="50">
        <v>51</v>
      </c>
      <c r="BA91" s="50">
        <v>1</v>
      </c>
      <c r="BB91" s="51">
        <v>27</v>
      </c>
      <c r="BC91" s="51"/>
      <c r="BD91" s="51">
        <v>34</v>
      </c>
      <c r="BE91" s="51"/>
      <c r="BF91" s="51">
        <v>19</v>
      </c>
      <c r="BG91" s="51">
        <v>14</v>
      </c>
      <c r="BH91" s="51">
        <v>33</v>
      </c>
      <c r="BI91" s="51">
        <v>22</v>
      </c>
      <c r="BJ91" s="51">
        <v>23</v>
      </c>
      <c r="BK91" s="51">
        <v>45</v>
      </c>
      <c r="BL91" s="51">
        <v>10</v>
      </c>
      <c r="BM91" s="51">
        <v>21</v>
      </c>
      <c r="BN91" s="51">
        <v>22</v>
      </c>
      <c r="BO91" s="51">
        <v>12</v>
      </c>
      <c r="BP91" s="51">
        <v>12</v>
      </c>
      <c r="BQ91" s="51">
        <v>77</v>
      </c>
      <c r="BR91" s="51">
        <v>4</v>
      </c>
      <c r="BS91" s="51">
        <v>0</v>
      </c>
      <c r="BT91" s="51">
        <v>49</v>
      </c>
      <c r="BU91" s="51">
        <v>115</v>
      </c>
      <c r="BV91" s="51">
        <v>164</v>
      </c>
      <c r="BW91" s="51">
        <v>24</v>
      </c>
      <c r="BX91" s="51">
        <v>0</v>
      </c>
      <c r="BY91" s="51">
        <v>25</v>
      </c>
      <c r="BZ91" s="50">
        <v>321</v>
      </c>
      <c r="CA91" s="42">
        <v>3</v>
      </c>
      <c r="CB91" s="42">
        <v>5</v>
      </c>
      <c r="CC91" s="42">
        <v>1</v>
      </c>
      <c r="CD91" s="42">
        <v>55</v>
      </c>
      <c r="CE91" s="42">
        <v>187</v>
      </c>
      <c r="CF91" s="42">
        <v>242</v>
      </c>
      <c r="CG91" s="42">
        <v>8</v>
      </c>
      <c r="CH91" s="42">
        <v>8</v>
      </c>
      <c r="CI91" s="42">
        <v>16</v>
      </c>
      <c r="CJ91" s="42">
        <v>0</v>
      </c>
      <c r="CK91" s="42">
        <v>71</v>
      </c>
      <c r="CL91" s="42">
        <v>61</v>
      </c>
      <c r="CM91" s="42">
        <v>85.92</v>
      </c>
      <c r="CN91" s="42">
        <v>54</v>
      </c>
      <c r="CO91" s="42">
        <v>77</v>
      </c>
      <c r="CP91" s="42">
        <v>131</v>
      </c>
      <c r="CQ91" s="42">
        <v>8</v>
      </c>
      <c r="CR91" s="42">
        <v>6</v>
      </c>
      <c r="CS91" s="42">
        <v>4</v>
      </c>
      <c r="CT91" s="42">
        <v>40</v>
      </c>
      <c r="CU91" s="42">
        <v>38</v>
      </c>
      <c r="CV91" s="42">
        <v>95</v>
      </c>
      <c r="CW91" s="20">
        <f t="shared" si="5"/>
        <v>0</v>
      </c>
      <c r="CX91" s="20">
        <f t="shared" si="6"/>
        <v>10</v>
      </c>
      <c r="CY91" s="20">
        <f t="shared" si="7"/>
        <v>12</v>
      </c>
      <c r="CZ91" s="20">
        <f t="shared" si="8"/>
        <v>2</v>
      </c>
    </row>
    <row r="92" spans="1:104" ht="15.75" customHeight="1" x14ac:dyDescent="0.35">
      <c r="A92" s="15" t="s">
        <v>215</v>
      </c>
      <c r="B92" s="16">
        <v>1</v>
      </c>
      <c r="C92" s="15" t="s">
        <v>109</v>
      </c>
      <c r="D92" s="16">
        <v>7</v>
      </c>
      <c r="E92" s="15">
        <v>1</v>
      </c>
      <c r="F92" s="15" t="s">
        <v>188</v>
      </c>
      <c r="G92" s="15" t="s">
        <v>107</v>
      </c>
      <c r="H92" s="15">
        <v>2</v>
      </c>
      <c r="I92" s="15">
        <v>3</v>
      </c>
      <c r="J92" s="15" t="s">
        <v>216</v>
      </c>
      <c r="K92" s="16">
        <v>3</v>
      </c>
      <c r="L92" s="16">
        <v>0</v>
      </c>
      <c r="M92" s="16">
        <v>109</v>
      </c>
      <c r="N92" s="16">
        <v>109</v>
      </c>
      <c r="O92" s="16">
        <v>218</v>
      </c>
      <c r="P92" s="16">
        <v>20</v>
      </c>
      <c r="Q92" s="16">
        <v>10</v>
      </c>
      <c r="R92" s="16">
        <v>21</v>
      </c>
      <c r="S92" s="15">
        <v>324</v>
      </c>
      <c r="T92" s="40">
        <v>3</v>
      </c>
      <c r="U92" s="40">
        <v>4</v>
      </c>
      <c r="V92" s="40">
        <v>2</v>
      </c>
      <c r="W92" s="40">
        <v>51</v>
      </c>
      <c r="X92" s="40">
        <v>252</v>
      </c>
      <c r="Y92" s="40">
        <v>303</v>
      </c>
      <c r="Z92" s="40">
        <v>8</v>
      </c>
      <c r="AA92" s="40">
        <v>8</v>
      </c>
      <c r="AB92" s="40">
        <v>16</v>
      </c>
      <c r="AC92" s="40">
        <v>0</v>
      </c>
      <c r="AD92" s="40">
        <v>61</v>
      </c>
      <c r="AE92" s="40">
        <v>61</v>
      </c>
      <c r="AF92" s="40">
        <v>100</v>
      </c>
      <c r="AG92" s="40">
        <v>64</v>
      </c>
      <c r="AH92" s="40">
        <v>92</v>
      </c>
      <c r="AI92" s="40">
        <v>156</v>
      </c>
      <c r="AJ92" s="40">
        <v>6</v>
      </c>
      <c r="AK92" s="40">
        <v>8</v>
      </c>
      <c r="AL92" s="40">
        <v>2</v>
      </c>
      <c r="AM92" s="40">
        <v>38</v>
      </c>
      <c r="AN92" s="40">
        <v>36</v>
      </c>
      <c r="AO92" s="40">
        <v>94.74</v>
      </c>
      <c r="AP92" s="15">
        <v>25</v>
      </c>
      <c r="AQ92" s="15">
        <v>5</v>
      </c>
      <c r="AR92" s="15">
        <v>35</v>
      </c>
      <c r="AS92" s="15">
        <v>2</v>
      </c>
      <c r="AT92" s="15">
        <v>27</v>
      </c>
      <c r="AU92" s="15">
        <v>2</v>
      </c>
      <c r="AV92" s="15">
        <v>39</v>
      </c>
      <c r="AW92" s="15">
        <v>1</v>
      </c>
      <c r="AX92" s="16">
        <v>40</v>
      </c>
      <c r="AY92" s="16"/>
      <c r="AZ92" s="15">
        <v>49</v>
      </c>
      <c r="BA92" s="15">
        <v>1</v>
      </c>
      <c r="BB92" s="16">
        <v>45</v>
      </c>
      <c r="BC92" s="16"/>
      <c r="BD92" s="16">
        <v>58</v>
      </c>
      <c r="BE92" s="16"/>
      <c r="BF92" s="16">
        <v>8</v>
      </c>
      <c r="BG92" s="16">
        <v>5</v>
      </c>
      <c r="BH92" s="16">
        <v>13</v>
      </c>
      <c r="BI92" s="16">
        <v>9</v>
      </c>
      <c r="BJ92" s="16">
        <v>8</v>
      </c>
      <c r="BK92" s="16">
        <v>17</v>
      </c>
      <c r="BL92" s="16">
        <v>8</v>
      </c>
      <c r="BM92" s="16">
        <v>15</v>
      </c>
      <c r="BN92" s="16">
        <v>16</v>
      </c>
      <c r="BO92" s="16">
        <v>13</v>
      </c>
      <c r="BP92" s="16">
        <v>11</v>
      </c>
      <c r="BQ92" s="16">
        <v>63</v>
      </c>
      <c r="BR92" s="16">
        <v>4</v>
      </c>
      <c r="BS92" s="16">
        <v>0</v>
      </c>
      <c r="BT92" s="16">
        <v>38</v>
      </c>
      <c r="BU92" s="16">
        <v>103</v>
      </c>
      <c r="BV92" s="16">
        <v>141</v>
      </c>
      <c r="BW92" s="16">
        <v>20</v>
      </c>
      <c r="BX92" s="16">
        <v>2</v>
      </c>
      <c r="BY92" s="16">
        <v>18</v>
      </c>
      <c r="BZ92" s="15">
        <v>239</v>
      </c>
      <c r="CA92" s="40">
        <v>3</v>
      </c>
      <c r="CB92" s="40">
        <v>4</v>
      </c>
      <c r="CC92" s="40">
        <v>2</v>
      </c>
      <c r="CD92" s="40">
        <v>31</v>
      </c>
      <c r="CE92" s="40">
        <v>159</v>
      </c>
      <c r="CF92" s="40">
        <v>190</v>
      </c>
      <c r="CG92" s="40">
        <v>8</v>
      </c>
      <c r="CH92" s="40">
        <v>8</v>
      </c>
      <c r="CI92" s="40">
        <v>16</v>
      </c>
      <c r="CJ92" s="40">
        <v>0</v>
      </c>
      <c r="CK92" s="40">
        <v>73</v>
      </c>
      <c r="CL92" s="40">
        <v>61</v>
      </c>
      <c r="CM92" s="40">
        <v>83.56</v>
      </c>
      <c r="CN92" s="40">
        <v>14</v>
      </c>
      <c r="CO92" s="40">
        <v>42</v>
      </c>
      <c r="CP92" s="40">
        <v>56</v>
      </c>
      <c r="CQ92" s="40">
        <v>2</v>
      </c>
      <c r="CR92" s="40">
        <v>4</v>
      </c>
      <c r="CS92" s="40">
        <v>0</v>
      </c>
      <c r="CT92" s="40">
        <v>20</v>
      </c>
      <c r="CU92" s="40">
        <v>18</v>
      </c>
      <c r="CV92" s="40">
        <v>90</v>
      </c>
      <c r="CW92" s="19">
        <f t="shared" si="5"/>
        <v>0</v>
      </c>
      <c r="CX92" s="19">
        <f t="shared" si="6"/>
        <v>12</v>
      </c>
      <c r="CY92" s="19">
        <f t="shared" si="7"/>
        <v>2</v>
      </c>
      <c r="CZ92" s="19">
        <f t="shared" si="8"/>
        <v>2</v>
      </c>
    </row>
    <row r="93" spans="1:104" ht="15.75" customHeight="1" x14ac:dyDescent="0.35">
      <c r="A93" s="15" t="s">
        <v>217</v>
      </c>
      <c r="B93" s="16">
        <v>1</v>
      </c>
      <c r="C93" s="15" t="s">
        <v>105</v>
      </c>
      <c r="D93" s="16">
        <v>7</v>
      </c>
      <c r="E93" s="15">
        <v>1</v>
      </c>
      <c r="F93" s="15" t="s">
        <v>188</v>
      </c>
      <c r="G93" s="15" t="s">
        <v>107</v>
      </c>
      <c r="H93" s="15">
        <v>2</v>
      </c>
      <c r="I93" s="15">
        <v>3</v>
      </c>
      <c r="J93" s="17"/>
      <c r="K93" s="16">
        <v>5</v>
      </c>
      <c r="L93" s="16">
        <v>4</v>
      </c>
      <c r="M93" s="16">
        <v>45</v>
      </c>
      <c r="N93" s="16">
        <v>181</v>
      </c>
      <c r="O93" s="16">
        <v>226</v>
      </c>
      <c r="P93" s="16">
        <v>29</v>
      </c>
      <c r="Q93" s="16">
        <v>2</v>
      </c>
      <c r="R93" s="16">
        <v>24</v>
      </c>
      <c r="S93" s="15">
        <v>365</v>
      </c>
      <c r="T93" s="40">
        <v>3</v>
      </c>
      <c r="U93" s="40">
        <v>6</v>
      </c>
      <c r="V93" s="40">
        <v>2</v>
      </c>
      <c r="W93" s="40">
        <v>48</v>
      </c>
      <c r="X93" s="40">
        <v>131</v>
      </c>
      <c r="Y93" s="40">
        <v>179</v>
      </c>
      <c r="Z93" s="40">
        <v>8</v>
      </c>
      <c r="AA93" s="40">
        <v>8</v>
      </c>
      <c r="AB93" s="40">
        <v>16</v>
      </c>
      <c r="AC93" s="40">
        <v>0</v>
      </c>
      <c r="AD93" s="40">
        <v>65</v>
      </c>
      <c r="AE93" s="40">
        <v>61</v>
      </c>
      <c r="AF93" s="40">
        <v>93.85</v>
      </c>
      <c r="AG93" s="40">
        <v>37</v>
      </c>
      <c r="AH93" s="40">
        <v>14</v>
      </c>
      <c r="AI93" s="40">
        <v>51</v>
      </c>
      <c r="AJ93" s="40">
        <v>4</v>
      </c>
      <c r="AK93" s="40">
        <v>4</v>
      </c>
      <c r="AL93" s="40">
        <v>2</v>
      </c>
      <c r="AM93" s="40">
        <v>18</v>
      </c>
      <c r="AN93" s="40">
        <v>18</v>
      </c>
      <c r="AO93" s="40">
        <v>100</v>
      </c>
      <c r="AP93" s="15">
        <v>36</v>
      </c>
      <c r="AQ93" s="15">
        <v>3</v>
      </c>
      <c r="AR93" s="15">
        <v>57</v>
      </c>
      <c r="AS93" s="15">
        <v>2</v>
      </c>
      <c r="AT93" s="15">
        <v>51</v>
      </c>
      <c r="AU93" s="15">
        <v>2</v>
      </c>
      <c r="AV93" s="15">
        <v>45</v>
      </c>
      <c r="AW93" s="15">
        <v>1</v>
      </c>
      <c r="AX93" s="15">
        <v>48</v>
      </c>
      <c r="AY93" s="15">
        <v>1</v>
      </c>
      <c r="AZ93" s="15">
        <v>54</v>
      </c>
      <c r="BA93" s="15">
        <v>1</v>
      </c>
      <c r="BB93" s="16">
        <v>63</v>
      </c>
      <c r="BC93" s="16"/>
      <c r="BD93" s="16">
        <v>60</v>
      </c>
      <c r="BE93" s="16"/>
      <c r="BF93" s="16">
        <v>8</v>
      </c>
      <c r="BG93" s="16">
        <v>5</v>
      </c>
      <c r="BH93" s="16">
        <v>13</v>
      </c>
      <c r="BI93" s="16">
        <v>8</v>
      </c>
      <c r="BJ93" s="16">
        <v>8</v>
      </c>
      <c r="BK93" s="16">
        <v>16</v>
      </c>
      <c r="BL93" s="16">
        <v>4</v>
      </c>
      <c r="BM93" s="16">
        <v>8</v>
      </c>
      <c r="BN93" s="16">
        <v>8</v>
      </c>
      <c r="BO93" s="16">
        <v>6</v>
      </c>
      <c r="BP93" s="16">
        <v>5</v>
      </c>
      <c r="BQ93" s="16">
        <v>31</v>
      </c>
      <c r="BR93" s="16">
        <v>5</v>
      </c>
      <c r="BS93" s="16">
        <v>6</v>
      </c>
      <c r="BT93" s="16">
        <v>20</v>
      </c>
      <c r="BU93" s="16">
        <v>91</v>
      </c>
      <c r="BV93" s="16">
        <v>111</v>
      </c>
      <c r="BW93" s="16">
        <v>26</v>
      </c>
      <c r="BX93" s="16">
        <v>0</v>
      </c>
      <c r="BY93" s="16">
        <v>32</v>
      </c>
      <c r="BZ93" s="15">
        <v>243</v>
      </c>
      <c r="CA93" s="40">
        <v>3</v>
      </c>
      <c r="CB93" s="40">
        <v>4</v>
      </c>
      <c r="CC93" s="40">
        <v>2</v>
      </c>
      <c r="CD93" s="40">
        <v>29</v>
      </c>
      <c r="CE93" s="40">
        <v>104</v>
      </c>
      <c r="CF93" s="40">
        <v>133</v>
      </c>
      <c r="CG93" s="40">
        <v>8</v>
      </c>
      <c r="CH93" s="40">
        <v>8</v>
      </c>
      <c r="CI93" s="40">
        <v>16</v>
      </c>
      <c r="CJ93" s="40">
        <v>0</v>
      </c>
      <c r="CK93" s="40">
        <v>61</v>
      </c>
      <c r="CL93" s="40">
        <v>61</v>
      </c>
      <c r="CM93" s="40">
        <v>100</v>
      </c>
      <c r="CN93" s="40">
        <v>8</v>
      </c>
      <c r="CO93" s="40">
        <v>62</v>
      </c>
      <c r="CP93" s="40">
        <v>70</v>
      </c>
      <c r="CQ93" s="40">
        <v>7</v>
      </c>
      <c r="CR93" s="40">
        <v>7</v>
      </c>
      <c r="CS93" s="40">
        <v>3</v>
      </c>
      <c r="CT93" s="40">
        <v>36</v>
      </c>
      <c r="CU93" s="40">
        <v>36</v>
      </c>
      <c r="CV93" s="40">
        <v>100</v>
      </c>
      <c r="CW93" s="19">
        <f t="shared" si="5"/>
        <v>4</v>
      </c>
      <c r="CX93" s="19">
        <f t="shared" si="6"/>
        <v>0</v>
      </c>
      <c r="CY93" s="19">
        <f t="shared" si="7"/>
        <v>0</v>
      </c>
      <c r="CZ93" s="19">
        <f t="shared" si="8"/>
        <v>0</v>
      </c>
    </row>
    <row r="94" spans="1:104" ht="15.75" customHeight="1" x14ac:dyDescent="0.35">
      <c r="A94" s="15" t="s">
        <v>218</v>
      </c>
      <c r="B94" s="16">
        <v>1</v>
      </c>
      <c r="C94" s="15" t="s">
        <v>105</v>
      </c>
      <c r="D94" s="16">
        <v>7</v>
      </c>
      <c r="E94" s="15">
        <v>1</v>
      </c>
      <c r="F94" s="15" t="s">
        <v>188</v>
      </c>
      <c r="G94" s="15" t="s">
        <v>107</v>
      </c>
      <c r="H94" s="15">
        <v>2</v>
      </c>
      <c r="I94" s="15">
        <v>3</v>
      </c>
      <c r="J94" s="17"/>
      <c r="K94" s="16">
        <v>4</v>
      </c>
      <c r="L94" s="16">
        <v>0</v>
      </c>
      <c r="M94" s="16">
        <v>131</v>
      </c>
      <c r="N94" s="16">
        <v>151</v>
      </c>
      <c r="O94" s="16">
        <v>282</v>
      </c>
      <c r="P94" s="16">
        <v>29</v>
      </c>
      <c r="Q94" s="16">
        <v>1</v>
      </c>
      <c r="R94" s="16">
        <v>20</v>
      </c>
      <c r="S94" s="15">
        <v>340</v>
      </c>
      <c r="T94" s="40">
        <v>3</v>
      </c>
      <c r="U94" s="40">
        <v>6</v>
      </c>
      <c r="V94" s="40">
        <v>2</v>
      </c>
      <c r="W94" s="40">
        <v>47</v>
      </c>
      <c r="X94" s="40">
        <v>296</v>
      </c>
      <c r="Y94" s="40">
        <v>343</v>
      </c>
      <c r="Z94" s="40">
        <v>8</v>
      </c>
      <c r="AA94" s="40">
        <v>8</v>
      </c>
      <c r="AB94" s="40">
        <v>16</v>
      </c>
      <c r="AC94" s="40">
        <v>0</v>
      </c>
      <c r="AD94" s="40">
        <v>69</v>
      </c>
      <c r="AE94" s="40">
        <v>61</v>
      </c>
      <c r="AF94" s="40">
        <v>88.41</v>
      </c>
      <c r="AG94" s="40">
        <v>7</v>
      </c>
      <c r="AH94" s="40">
        <v>65</v>
      </c>
      <c r="AI94" s="40">
        <v>72</v>
      </c>
      <c r="AJ94" s="40">
        <v>5</v>
      </c>
      <c r="AK94" s="40">
        <v>6</v>
      </c>
      <c r="AL94" s="40">
        <v>2</v>
      </c>
      <c r="AM94" s="40">
        <v>34</v>
      </c>
      <c r="AN94" s="40">
        <v>28</v>
      </c>
      <c r="AO94" s="40">
        <v>82.35</v>
      </c>
      <c r="AP94" s="15">
        <v>24</v>
      </c>
      <c r="AQ94" s="15">
        <v>7</v>
      </c>
      <c r="AR94" s="15">
        <v>36</v>
      </c>
      <c r="AS94" s="15">
        <v>7</v>
      </c>
      <c r="AT94" s="15">
        <v>51</v>
      </c>
      <c r="AU94" s="15">
        <v>2</v>
      </c>
      <c r="AV94" s="15">
        <v>45</v>
      </c>
      <c r="AW94" s="15">
        <v>1</v>
      </c>
      <c r="AX94" s="16">
        <v>51</v>
      </c>
      <c r="AY94" s="16"/>
      <c r="AZ94" s="16">
        <v>54</v>
      </c>
      <c r="BA94" s="16"/>
      <c r="BB94" s="16">
        <v>63</v>
      </c>
      <c r="BC94" s="16"/>
      <c r="BD94" s="16">
        <v>60</v>
      </c>
      <c r="BE94" s="16"/>
      <c r="BF94" s="16">
        <v>8</v>
      </c>
      <c r="BG94" s="16">
        <v>5</v>
      </c>
      <c r="BH94" s="16">
        <v>13</v>
      </c>
      <c r="BI94" s="16">
        <v>9</v>
      </c>
      <c r="BJ94" s="16">
        <v>8</v>
      </c>
      <c r="BK94" s="16">
        <v>17</v>
      </c>
      <c r="BL94" s="16">
        <v>4</v>
      </c>
      <c r="BM94" s="16">
        <v>8</v>
      </c>
      <c r="BN94" s="16">
        <v>8</v>
      </c>
      <c r="BO94" s="16">
        <v>7</v>
      </c>
      <c r="BP94" s="16">
        <v>5</v>
      </c>
      <c r="BQ94" s="16">
        <v>32</v>
      </c>
      <c r="BR94" s="16">
        <v>4</v>
      </c>
      <c r="BS94" s="16">
        <v>3</v>
      </c>
      <c r="BT94" s="16">
        <v>21</v>
      </c>
      <c r="BU94" s="16">
        <v>121</v>
      </c>
      <c r="BV94" s="16">
        <v>142</v>
      </c>
      <c r="BW94" s="16">
        <v>28</v>
      </c>
      <c r="BX94" s="16">
        <v>0</v>
      </c>
      <c r="BY94" s="16">
        <v>22</v>
      </c>
      <c r="BZ94" s="15">
        <v>233</v>
      </c>
      <c r="CA94" s="40">
        <v>1</v>
      </c>
      <c r="CB94" s="40">
        <v>2</v>
      </c>
      <c r="CC94" s="40">
        <v>0</v>
      </c>
      <c r="CD94" s="40">
        <v>52</v>
      </c>
      <c r="CE94" s="40">
        <v>197</v>
      </c>
      <c r="CF94" s="40">
        <v>249</v>
      </c>
      <c r="CG94" s="40">
        <v>8</v>
      </c>
      <c r="CH94" s="40">
        <v>8</v>
      </c>
      <c r="CI94" s="40">
        <v>16</v>
      </c>
      <c r="CJ94" s="40">
        <v>0</v>
      </c>
      <c r="CK94" s="40">
        <v>79</v>
      </c>
      <c r="CL94" s="40">
        <v>61</v>
      </c>
      <c r="CM94" s="40">
        <v>77.22</v>
      </c>
      <c r="CN94" s="40">
        <v>22</v>
      </c>
      <c r="CO94" s="40">
        <v>108</v>
      </c>
      <c r="CP94" s="40">
        <v>130</v>
      </c>
      <c r="CQ94" s="40">
        <v>8</v>
      </c>
      <c r="CR94" s="40">
        <v>9</v>
      </c>
      <c r="CS94" s="40">
        <v>3</v>
      </c>
      <c r="CT94" s="40">
        <v>55</v>
      </c>
      <c r="CU94" s="40">
        <v>47</v>
      </c>
      <c r="CV94" s="40">
        <v>85.45</v>
      </c>
      <c r="CW94" s="19">
        <f t="shared" si="5"/>
        <v>8</v>
      </c>
      <c r="CX94" s="19">
        <f t="shared" si="6"/>
        <v>18</v>
      </c>
      <c r="CY94" s="19">
        <f t="shared" si="7"/>
        <v>6</v>
      </c>
      <c r="CZ94" s="19">
        <f t="shared" si="8"/>
        <v>8</v>
      </c>
    </row>
    <row r="95" spans="1:104" ht="15.75" customHeight="1" x14ac:dyDescent="0.35">
      <c r="A95" s="15" t="s">
        <v>219</v>
      </c>
      <c r="B95" s="16">
        <v>1</v>
      </c>
      <c r="C95" s="15" t="s">
        <v>105</v>
      </c>
      <c r="D95" s="16">
        <v>7</v>
      </c>
      <c r="E95" s="15">
        <v>1</v>
      </c>
      <c r="F95" s="15" t="s">
        <v>188</v>
      </c>
      <c r="G95" s="15" t="s">
        <v>107</v>
      </c>
      <c r="H95" s="15">
        <v>2</v>
      </c>
      <c r="I95" s="15">
        <v>3</v>
      </c>
      <c r="J95" s="17"/>
      <c r="K95" s="16">
        <v>5</v>
      </c>
      <c r="L95" s="16">
        <v>0</v>
      </c>
      <c r="M95" s="16">
        <v>49</v>
      </c>
      <c r="N95" s="16">
        <v>110</v>
      </c>
      <c r="O95" s="16">
        <v>159</v>
      </c>
      <c r="P95" s="16">
        <v>33</v>
      </c>
      <c r="Q95" s="16">
        <v>0</v>
      </c>
      <c r="R95" s="16">
        <v>23</v>
      </c>
      <c r="S95" s="15">
        <v>310</v>
      </c>
      <c r="T95" s="40">
        <v>2</v>
      </c>
      <c r="U95" s="40">
        <v>3</v>
      </c>
      <c r="V95" s="40">
        <v>2</v>
      </c>
      <c r="W95" s="40">
        <v>35</v>
      </c>
      <c r="X95" s="40">
        <v>149</v>
      </c>
      <c r="Y95" s="40">
        <v>184</v>
      </c>
      <c r="Z95" s="40">
        <v>8</v>
      </c>
      <c r="AA95" s="40">
        <v>8</v>
      </c>
      <c r="AB95" s="40">
        <v>16</v>
      </c>
      <c r="AC95" s="40">
        <v>0</v>
      </c>
      <c r="AD95" s="40">
        <v>85</v>
      </c>
      <c r="AE95" s="40">
        <v>61</v>
      </c>
      <c r="AF95" s="40">
        <v>71.760000000000005</v>
      </c>
      <c r="AG95" s="40">
        <v>14</v>
      </c>
      <c r="AH95" s="40">
        <v>53</v>
      </c>
      <c r="AI95" s="40">
        <v>67</v>
      </c>
      <c r="AJ95" s="40">
        <v>5</v>
      </c>
      <c r="AK95" s="40">
        <v>6</v>
      </c>
      <c r="AL95" s="40">
        <v>2</v>
      </c>
      <c r="AM95" s="40">
        <v>32</v>
      </c>
      <c r="AN95" s="40">
        <v>28</v>
      </c>
      <c r="AO95" s="40">
        <v>87.5</v>
      </c>
      <c r="AP95" s="15">
        <v>30</v>
      </c>
      <c r="AQ95" s="15">
        <v>5</v>
      </c>
      <c r="AR95" s="15">
        <v>39</v>
      </c>
      <c r="AS95" s="15">
        <v>7</v>
      </c>
      <c r="AT95" s="15">
        <v>52</v>
      </c>
      <c r="AU95" s="15">
        <v>2</v>
      </c>
      <c r="AV95" s="15">
        <v>44</v>
      </c>
      <c r="AW95" s="15">
        <v>1</v>
      </c>
      <c r="AX95" s="15">
        <v>48</v>
      </c>
      <c r="AY95" s="15">
        <v>1</v>
      </c>
      <c r="AZ95" s="15">
        <v>53</v>
      </c>
      <c r="BA95" s="15">
        <v>1</v>
      </c>
      <c r="BB95" s="16">
        <v>62</v>
      </c>
      <c r="BC95" s="16"/>
      <c r="BD95" s="16">
        <v>56</v>
      </c>
      <c r="BE95" s="16"/>
      <c r="BF95" s="16">
        <v>9</v>
      </c>
      <c r="BG95" s="16">
        <v>5</v>
      </c>
      <c r="BH95" s="16">
        <v>14</v>
      </c>
      <c r="BI95" s="16">
        <v>9</v>
      </c>
      <c r="BJ95" s="16">
        <v>9</v>
      </c>
      <c r="BK95" s="16">
        <v>18</v>
      </c>
      <c r="BL95" s="16">
        <v>4</v>
      </c>
      <c r="BM95" s="16">
        <v>8</v>
      </c>
      <c r="BN95" s="16">
        <v>9</v>
      </c>
      <c r="BO95" s="16">
        <v>8</v>
      </c>
      <c r="BP95" s="16">
        <v>6</v>
      </c>
      <c r="BQ95" s="16">
        <v>35</v>
      </c>
      <c r="BR95" s="16">
        <v>5</v>
      </c>
      <c r="BS95" s="16">
        <v>5</v>
      </c>
      <c r="BT95" s="16">
        <v>36</v>
      </c>
      <c r="BU95" s="16">
        <v>84</v>
      </c>
      <c r="BV95" s="16">
        <v>120</v>
      </c>
      <c r="BW95" s="16">
        <v>30</v>
      </c>
      <c r="BX95" s="16">
        <v>0</v>
      </c>
      <c r="BY95" s="16">
        <v>24</v>
      </c>
      <c r="BZ95" s="15">
        <v>263</v>
      </c>
      <c r="CA95" s="40">
        <v>4</v>
      </c>
      <c r="CB95" s="40">
        <v>5</v>
      </c>
      <c r="CC95" s="40">
        <v>2</v>
      </c>
      <c r="CD95" s="40">
        <v>33</v>
      </c>
      <c r="CE95" s="40">
        <v>94</v>
      </c>
      <c r="CF95" s="40">
        <v>127</v>
      </c>
      <c r="CG95" s="40">
        <v>8</v>
      </c>
      <c r="CH95" s="40">
        <v>8</v>
      </c>
      <c r="CI95" s="40">
        <v>16</v>
      </c>
      <c r="CJ95" s="40">
        <v>0</v>
      </c>
      <c r="CK95" s="40">
        <v>61</v>
      </c>
      <c r="CL95" s="40">
        <v>61</v>
      </c>
      <c r="CM95" s="40">
        <v>100</v>
      </c>
      <c r="CN95" s="40">
        <v>12</v>
      </c>
      <c r="CO95" s="40">
        <v>63</v>
      </c>
      <c r="CP95" s="40">
        <v>75</v>
      </c>
      <c r="CQ95" s="40">
        <v>7</v>
      </c>
      <c r="CR95" s="40">
        <v>7</v>
      </c>
      <c r="CS95" s="40">
        <v>3</v>
      </c>
      <c r="CT95" s="40">
        <v>42</v>
      </c>
      <c r="CU95" s="40">
        <v>36</v>
      </c>
      <c r="CV95" s="40">
        <v>85.71</v>
      </c>
      <c r="CW95" s="19">
        <f t="shared" si="5"/>
        <v>24</v>
      </c>
      <c r="CX95" s="19">
        <f t="shared" si="6"/>
        <v>0</v>
      </c>
      <c r="CY95" s="19">
        <f t="shared" si="7"/>
        <v>4</v>
      </c>
      <c r="CZ95" s="19">
        <f t="shared" si="8"/>
        <v>6</v>
      </c>
    </row>
    <row r="96" spans="1:104" ht="15.75" customHeight="1" x14ac:dyDescent="0.35">
      <c r="A96" s="15" t="s">
        <v>220</v>
      </c>
      <c r="B96" s="16">
        <v>1</v>
      </c>
      <c r="C96" s="15" t="s">
        <v>109</v>
      </c>
      <c r="D96" s="16">
        <v>7</v>
      </c>
      <c r="E96" s="15">
        <v>1</v>
      </c>
      <c r="F96" s="15" t="s">
        <v>188</v>
      </c>
      <c r="G96" s="15" t="s">
        <v>107</v>
      </c>
      <c r="H96" s="15">
        <v>2</v>
      </c>
      <c r="I96" s="15">
        <v>3</v>
      </c>
      <c r="J96" s="17"/>
      <c r="K96" s="16">
        <v>5</v>
      </c>
      <c r="L96" s="16">
        <v>3</v>
      </c>
      <c r="M96" s="16">
        <v>37</v>
      </c>
      <c r="N96" s="16">
        <v>85</v>
      </c>
      <c r="O96" s="16">
        <v>122</v>
      </c>
      <c r="P96" s="16">
        <v>26</v>
      </c>
      <c r="Q96" s="16">
        <v>1</v>
      </c>
      <c r="R96" s="16">
        <v>21</v>
      </c>
      <c r="S96" s="15">
        <v>354</v>
      </c>
      <c r="T96" s="40">
        <v>3</v>
      </c>
      <c r="U96" s="40">
        <v>4</v>
      </c>
      <c r="V96" s="40">
        <v>4</v>
      </c>
      <c r="W96" s="40">
        <v>21</v>
      </c>
      <c r="X96" s="40">
        <v>109</v>
      </c>
      <c r="Y96" s="40">
        <v>130</v>
      </c>
      <c r="Z96" s="40">
        <v>8</v>
      </c>
      <c r="AA96" s="40">
        <v>8</v>
      </c>
      <c r="AB96" s="40">
        <v>16</v>
      </c>
      <c r="AC96" s="40">
        <v>0</v>
      </c>
      <c r="AD96" s="40">
        <v>61</v>
      </c>
      <c r="AE96" s="40">
        <v>61</v>
      </c>
      <c r="AF96" s="40">
        <v>100</v>
      </c>
      <c r="AG96" s="40">
        <v>14</v>
      </c>
      <c r="AH96" s="40">
        <v>40</v>
      </c>
      <c r="AI96" s="40">
        <v>54</v>
      </c>
      <c r="AJ96" s="40">
        <v>4</v>
      </c>
      <c r="AK96" s="40">
        <v>4</v>
      </c>
      <c r="AL96" s="40">
        <v>2</v>
      </c>
      <c r="AM96" s="40">
        <v>22</v>
      </c>
      <c r="AN96" s="40">
        <v>18</v>
      </c>
      <c r="AO96" s="40">
        <v>81.819999999999993</v>
      </c>
      <c r="AP96" s="15">
        <v>26</v>
      </c>
      <c r="AQ96" s="15">
        <v>6</v>
      </c>
      <c r="AR96" s="15">
        <v>32</v>
      </c>
      <c r="AS96" s="15">
        <v>11</v>
      </c>
      <c r="AT96" s="15">
        <v>45</v>
      </c>
      <c r="AU96" s="15">
        <v>3</v>
      </c>
      <c r="AV96" s="15">
        <v>35</v>
      </c>
      <c r="AW96" s="15">
        <v>3</v>
      </c>
      <c r="AX96" s="16">
        <v>39</v>
      </c>
      <c r="AY96" s="16"/>
      <c r="AZ96" s="15">
        <v>46</v>
      </c>
      <c r="BA96" s="15">
        <v>3</v>
      </c>
      <c r="BB96" s="16">
        <v>53</v>
      </c>
      <c r="BC96" s="16"/>
      <c r="BD96" s="16">
        <v>53</v>
      </c>
      <c r="BE96" s="16"/>
      <c r="BF96" s="16">
        <v>10</v>
      </c>
      <c r="BG96" s="16">
        <v>5</v>
      </c>
      <c r="BH96" s="16">
        <v>15</v>
      </c>
      <c r="BI96" s="16">
        <v>12</v>
      </c>
      <c r="BJ96" s="16">
        <v>12</v>
      </c>
      <c r="BK96" s="16">
        <v>24</v>
      </c>
      <c r="BL96" s="16">
        <v>4</v>
      </c>
      <c r="BM96" s="16">
        <v>8</v>
      </c>
      <c r="BN96" s="16">
        <v>8</v>
      </c>
      <c r="BO96" s="16">
        <v>8</v>
      </c>
      <c r="BP96" s="16">
        <v>6</v>
      </c>
      <c r="BQ96" s="16">
        <v>34</v>
      </c>
      <c r="BR96" s="16">
        <v>4</v>
      </c>
      <c r="BS96" s="16">
        <v>4</v>
      </c>
      <c r="BT96" s="16">
        <v>73</v>
      </c>
      <c r="BU96" s="16">
        <v>125</v>
      </c>
      <c r="BV96" s="16">
        <v>198</v>
      </c>
      <c r="BW96" s="16">
        <v>32</v>
      </c>
      <c r="BX96" s="16">
        <v>0</v>
      </c>
      <c r="BY96" s="16">
        <v>25</v>
      </c>
      <c r="BZ96" s="15">
        <v>278</v>
      </c>
      <c r="CA96" s="40">
        <v>3</v>
      </c>
      <c r="CB96" s="40">
        <v>4</v>
      </c>
      <c r="CC96" s="40">
        <v>4</v>
      </c>
      <c r="CD96" s="40">
        <v>68</v>
      </c>
      <c r="CE96" s="40">
        <v>110</v>
      </c>
      <c r="CF96" s="40">
        <v>178</v>
      </c>
      <c r="CG96" s="40">
        <v>8</v>
      </c>
      <c r="CH96" s="40">
        <v>8</v>
      </c>
      <c r="CI96" s="40">
        <v>16</v>
      </c>
      <c r="CJ96" s="40">
        <v>0</v>
      </c>
      <c r="CK96" s="40">
        <v>61</v>
      </c>
      <c r="CL96" s="40">
        <v>61</v>
      </c>
      <c r="CM96" s="40">
        <v>100</v>
      </c>
      <c r="CN96" s="40">
        <v>19</v>
      </c>
      <c r="CO96" s="40">
        <v>124</v>
      </c>
      <c r="CP96" s="40">
        <v>143</v>
      </c>
      <c r="CQ96" s="40">
        <v>8</v>
      </c>
      <c r="CR96" s="40">
        <v>12</v>
      </c>
      <c r="CS96" s="40">
        <v>2</v>
      </c>
      <c r="CT96" s="40">
        <v>69</v>
      </c>
      <c r="CU96" s="40">
        <v>53</v>
      </c>
      <c r="CV96" s="40">
        <v>76.81</v>
      </c>
      <c r="CW96" s="19">
        <f t="shared" si="5"/>
        <v>0</v>
      </c>
      <c r="CX96" s="19">
        <f t="shared" si="6"/>
        <v>0</v>
      </c>
      <c r="CY96" s="19">
        <f t="shared" si="7"/>
        <v>4</v>
      </c>
      <c r="CZ96" s="19">
        <f t="shared" si="8"/>
        <v>16</v>
      </c>
    </row>
    <row r="97" spans="1:104" ht="15.75" customHeight="1" x14ac:dyDescent="0.35">
      <c r="A97" s="15" t="s">
        <v>221</v>
      </c>
      <c r="B97" s="16">
        <v>1</v>
      </c>
      <c r="C97" s="15" t="s">
        <v>109</v>
      </c>
      <c r="D97" s="16">
        <v>7</v>
      </c>
      <c r="E97" s="15">
        <v>1</v>
      </c>
      <c r="F97" s="15" t="s">
        <v>188</v>
      </c>
      <c r="G97" s="15" t="s">
        <v>107</v>
      </c>
      <c r="H97" s="15">
        <v>2</v>
      </c>
      <c r="I97" s="15">
        <v>3</v>
      </c>
      <c r="J97" s="17"/>
      <c r="K97" s="16">
        <v>5</v>
      </c>
      <c r="L97" s="16">
        <v>3</v>
      </c>
      <c r="M97" s="16">
        <v>51</v>
      </c>
      <c r="N97" s="16">
        <v>120</v>
      </c>
      <c r="O97" s="16">
        <v>171</v>
      </c>
      <c r="P97" s="16">
        <v>23</v>
      </c>
      <c r="Q97" s="16">
        <v>5</v>
      </c>
      <c r="R97" s="16">
        <v>18</v>
      </c>
      <c r="S97" s="15">
        <v>329</v>
      </c>
      <c r="T97" s="40">
        <v>2</v>
      </c>
      <c r="U97" s="40">
        <v>4</v>
      </c>
      <c r="V97" s="40">
        <v>1</v>
      </c>
      <c r="W97" s="40">
        <v>50</v>
      </c>
      <c r="X97" s="40">
        <v>132</v>
      </c>
      <c r="Y97" s="40">
        <v>182</v>
      </c>
      <c r="Z97" s="40">
        <v>8</v>
      </c>
      <c r="AA97" s="40">
        <v>8</v>
      </c>
      <c r="AB97" s="40">
        <v>16</v>
      </c>
      <c r="AC97" s="40">
        <v>0</v>
      </c>
      <c r="AD97" s="40">
        <v>63</v>
      </c>
      <c r="AE97" s="40">
        <v>61</v>
      </c>
      <c r="AF97" s="40">
        <v>96.83</v>
      </c>
      <c r="AG97" s="40">
        <v>13</v>
      </c>
      <c r="AH97" s="40">
        <v>40</v>
      </c>
      <c r="AI97" s="40">
        <v>53</v>
      </c>
      <c r="AJ97" s="40">
        <v>4</v>
      </c>
      <c r="AK97" s="40">
        <v>4</v>
      </c>
      <c r="AL97" s="40">
        <v>2</v>
      </c>
      <c r="AM97" s="40">
        <v>22</v>
      </c>
      <c r="AN97" s="40">
        <v>18</v>
      </c>
      <c r="AO97" s="40">
        <v>81.819999999999993</v>
      </c>
      <c r="AP97" s="15">
        <v>36</v>
      </c>
      <c r="AQ97" s="15">
        <v>3</v>
      </c>
      <c r="AR97" s="15">
        <v>40</v>
      </c>
      <c r="AS97" s="15">
        <v>7</v>
      </c>
      <c r="AT97" s="15">
        <v>50</v>
      </c>
      <c r="AU97" s="15">
        <v>2</v>
      </c>
      <c r="AV97" s="15">
        <v>40</v>
      </c>
      <c r="AW97" s="15">
        <v>2</v>
      </c>
      <c r="AX97" s="16">
        <v>50</v>
      </c>
      <c r="AY97" s="16"/>
      <c r="AZ97" s="15">
        <v>53</v>
      </c>
      <c r="BA97" s="15">
        <v>1</v>
      </c>
      <c r="BB97" s="16">
        <v>62</v>
      </c>
      <c r="BC97" s="16"/>
      <c r="BD97" s="16">
        <v>59</v>
      </c>
      <c r="BE97" s="16"/>
      <c r="BF97" s="16">
        <v>9</v>
      </c>
      <c r="BG97" s="16">
        <v>5</v>
      </c>
      <c r="BH97" s="16">
        <v>14</v>
      </c>
      <c r="BI97" s="16">
        <v>8</v>
      </c>
      <c r="BJ97" s="16">
        <v>8</v>
      </c>
      <c r="BK97" s="16">
        <v>16</v>
      </c>
      <c r="BL97" s="16">
        <v>4</v>
      </c>
      <c r="BM97" s="16">
        <v>8</v>
      </c>
      <c r="BN97" s="16">
        <v>8</v>
      </c>
      <c r="BO97" s="16">
        <v>9</v>
      </c>
      <c r="BP97" s="16">
        <v>5</v>
      </c>
      <c r="BQ97" s="16">
        <v>34</v>
      </c>
      <c r="BR97" s="16">
        <v>3</v>
      </c>
      <c r="BS97" s="16">
        <v>3</v>
      </c>
      <c r="BT97" s="16">
        <v>42</v>
      </c>
      <c r="BU97" s="16">
        <v>128</v>
      </c>
      <c r="BV97" s="16">
        <v>170</v>
      </c>
      <c r="BW97" s="16">
        <v>26</v>
      </c>
      <c r="BX97" s="16">
        <v>0</v>
      </c>
      <c r="BY97" s="16">
        <v>20</v>
      </c>
      <c r="BZ97" s="15">
        <v>346</v>
      </c>
      <c r="CA97" s="40">
        <v>3</v>
      </c>
      <c r="CB97" s="40">
        <v>5</v>
      </c>
      <c r="CC97" s="40">
        <v>3</v>
      </c>
      <c r="CD97" s="40">
        <v>32</v>
      </c>
      <c r="CE97" s="40">
        <v>108</v>
      </c>
      <c r="CF97" s="40">
        <v>140</v>
      </c>
      <c r="CG97" s="40">
        <v>8</v>
      </c>
      <c r="CH97" s="40">
        <v>8</v>
      </c>
      <c r="CI97" s="40">
        <v>16</v>
      </c>
      <c r="CJ97" s="40">
        <v>0</v>
      </c>
      <c r="CK97" s="40">
        <v>69</v>
      </c>
      <c r="CL97" s="40">
        <v>61</v>
      </c>
      <c r="CM97" s="40">
        <v>88.41</v>
      </c>
      <c r="CN97" s="40">
        <v>11</v>
      </c>
      <c r="CO97" s="40">
        <v>29</v>
      </c>
      <c r="CP97" s="40">
        <v>40</v>
      </c>
      <c r="CQ97" s="40">
        <v>4</v>
      </c>
      <c r="CR97" s="40">
        <v>4</v>
      </c>
      <c r="CS97" s="40">
        <v>2</v>
      </c>
      <c r="CT97" s="40">
        <v>22</v>
      </c>
      <c r="CU97" s="40">
        <v>18</v>
      </c>
      <c r="CV97" s="40">
        <v>81.819999999999993</v>
      </c>
      <c r="CW97" s="19">
        <f t="shared" si="5"/>
        <v>2</v>
      </c>
      <c r="CX97" s="19">
        <f t="shared" si="6"/>
        <v>8</v>
      </c>
      <c r="CY97" s="19">
        <f t="shared" si="7"/>
        <v>4</v>
      </c>
      <c r="CZ97" s="19">
        <f t="shared" si="8"/>
        <v>4</v>
      </c>
    </row>
    <row r="98" spans="1:104" ht="15.75" customHeight="1" x14ac:dyDescent="0.35">
      <c r="A98" s="44" t="s">
        <v>222</v>
      </c>
      <c r="B98" s="16">
        <v>1</v>
      </c>
      <c r="C98" s="15" t="s">
        <v>109</v>
      </c>
      <c r="D98" s="16">
        <v>7</v>
      </c>
      <c r="E98" s="15">
        <v>1</v>
      </c>
      <c r="F98" s="15" t="s">
        <v>188</v>
      </c>
      <c r="G98" s="15" t="s">
        <v>107</v>
      </c>
      <c r="H98" s="15">
        <v>2</v>
      </c>
      <c r="I98" s="15">
        <v>3</v>
      </c>
      <c r="J98" s="17"/>
      <c r="K98" s="16">
        <v>5</v>
      </c>
      <c r="L98" s="16">
        <v>6</v>
      </c>
      <c r="M98" s="16">
        <v>50</v>
      </c>
      <c r="N98" s="16">
        <v>141</v>
      </c>
      <c r="O98" s="16">
        <v>191</v>
      </c>
      <c r="P98" s="16">
        <v>28</v>
      </c>
      <c r="Q98" s="16">
        <v>3</v>
      </c>
      <c r="R98" s="16">
        <v>26</v>
      </c>
      <c r="S98" s="15">
        <v>348</v>
      </c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15">
        <v>30</v>
      </c>
      <c r="AQ98" s="15">
        <v>5</v>
      </c>
      <c r="AR98" s="15">
        <v>44</v>
      </c>
      <c r="AS98" s="15">
        <v>2</v>
      </c>
      <c r="AT98" s="15">
        <v>45</v>
      </c>
      <c r="AU98" s="15">
        <v>2</v>
      </c>
      <c r="AV98" s="16">
        <v>48</v>
      </c>
      <c r="AW98" s="16"/>
      <c r="AX98" s="16">
        <v>49</v>
      </c>
      <c r="AY98" s="16"/>
      <c r="AZ98" s="16">
        <v>57</v>
      </c>
      <c r="BA98" s="16"/>
      <c r="BB98" s="16">
        <v>63</v>
      </c>
      <c r="BC98" s="16"/>
      <c r="BD98" s="16">
        <v>60</v>
      </c>
      <c r="BE98" s="16"/>
      <c r="BF98" s="16">
        <v>8</v>
      </c>
      <c r="BG98" s="16">
        <v>5</v>
      </c>
      <c r="BH98" s="16">
        <v>13</v>
      </c>
      <c r="BI98" s="16">
        <v>8</v>
      </c>
      <c r="BJ98" s="16">
        <v>8</v>
      </c>
      <c r="BK98" s="16">
        <v>16</v>
      </c>
      <c r="BL98" s="16">
        <v>4</v>
      </c>
      <c r="BM98" s="16">
        <v>8</v>
      </c>
      <c r="BN98" s="16">
        <v>8</v>
      </c>
      <c r="BO98" s="16">
        <v>8</v>
      </c>
      <c r="BP98" s="16">
        <v>5</v>
      </c>
      <c r="BQ98" s="16">
        <v>33</v>
      </c>
      <c r="BR98" s="16">
        <v>5</v>
      </c>
      <c r="BS98" s="16">
        <v>5</v>
      </c>
      <c r="BT98" s="16">
        <v>49</v>
      </c>
      <c r="BU98" s="16">
        <v>85</v>
      </c>
      <c r="BV98" s="16">
        <v>134</v>
      </c>
      <c r="BW98" s="16">
        <v>27</v>
      </c>
      <c r="BX98" s="16">
        <v>2</v>
      </c>
      <c r="BY98" s="16">
        <v>26</v>
      </c>
      <c r="BZ98" s="15">
        <v>397</v>
      </c>
      <c r="CA98" s="40">
        <v>6</v>
      </c>
      <c r="CB98" s="40">
        <v>7</v>
      </c>
      <c r="CC98" s="40">
        <v>2</v>
      </c>
      <c r="CD98" s="40">
        <v>33</v>
      </c>
      <c r="CE98" s="40">
        <v>165</v>
      </c>
      <c r="CF98" s="40">
        <v>198</v>
      </c>
      <c r="CG98" s="40">
        <v>8</v>
      </c>
      <c r="CH98" s="40">
        <v>8</v>
      </c>
      <c r="CI98" s="40">
        <v>16</v>
      </c>
      <c r="CJ98" s="40">
        <v>0</v>
      </c>
      <c r="CK98" s="40">
        <v>85</v>
      </c>
      <c r="CL98" s="40">
        <v>61</v>
      </c>
      <c r="CM98" s="40">
        <v>71.760000000000005</v>
      </c>
      <c r="CN98" s="40">
        <v>39</v>
      </c>
      <c r="CO98" s="40">
        <v>66</v>
      </c>
      <c r="CP98" s="40">
        <v>105</v>
      </c>
      <c r="CQ98" s="40">
        <v>5</v>
      </c>
      <c r="CR98" s="40">
        <v>6</v>
      </c>
      <c r="CS98" s="40">
        <v>2</v>
      </c>
      <c r="CT98" s="40">
        <v>34</v>
      </c>
      <c r="CU98" s="40">
        <v>28</v>
      </c>
      <c r="CV98" s="40">
        <v>82.35</v>
      </c>
      <c r="CW98" s="19">
        <f t="shared" si="5"/>
        <v>0</v>
      </c>
      <c r="CX98" s="19">
        <f t="shared" si="6"/>
        <v>24</v>
      </c>
      <c r="CY98" s="19">
        <f t="shared" si="7"/>
        <v>0</v>
      </c>
      <c r="CZ98" s="19">
        <f t="shared" si="8"/>
        <v>6</v>
      </c>
    </row>
    <row r="99" spans="1:104" ht="15.75" customHeight="1" x14ac:dyDescent="0.35">
      <c r="A99" s="15" t="s">
        <v>223</v>
      </c>
      <c r="B99" s="16">
        <v>1</v>
      </c>
      <c r="C99" s="15" t="s">
        <v>109</v>
      </c>
      <c r="D99" s="16">
        <v>7</v>
      </c>
      <c r="E99" s="15">
        <v>1</v>
      </c>
      <c r="F99" s="15" t="s">
        <v>188</v>
      </c>
      <c r="G99" s="15" t="s">
        <v>107</v>
      </c>
      <c r="H99" s="15">
        <v>2</v>
      </c>
      <c r="I99" s="15">
        <v>3</v>
      </c>
      <c r="J99" s="17"/>
      <c r="K99" s="16">
        <v>5</v>
      </c>
      <c r="L99" s="16">
        <v>4</v>
      </c>
      <c r="M99" s="16">
        <v>126</v>
      </c>
      <c r="N99" s="16">
        <v>146</v>
      </c>
      <c r="O99" s="16">
        <v>272</v>
      </c>
      <c r="P99" s="16">
        <v>27</v>
      </c>
      <c r="Q99" s="16">
        <v>1</v>
      </c>
      <c r="R99" s="16">
        <v>20</v>
      </c>
      <c r="S99" s="15">
        <v>380</v>
      </c>
      <c r="T99" s="40">
        <v>3</v>
      </c>
      <c r="U99" s="40">
        <v>6</v>
      </c>
      <c r="V99" s="40">
        <v>2</v>
      </c>
      <c r="W99" s="40">
        <v>29</v>
      </c>
      <c r="X99" s="40">
        <v>122</v>
      </c>
      <c r="Y99" s="40">
        <v>151</v>
      </c>
      <c r="Z99" s="40">
        <v>8</v>
      </c>
      <c r="AA99" s="40">
        <v>8</v>
      </c>
      <c r="AB99" s="40">
        <v>16</v>
      </c>
      <c r="AC99" s="40">
        <v>0</v>
      </c>
      <c r="AD99" s="40">
        <v>63</v>
      </c>
      <c r="AE99" s="40">
        <v>61</v>
      </c>
      <c r="AF99" s="40">
        <v>96.83</v>
      </c>
      <c r="AG99" s="40">
        <v>42</v>
      </c>
      <c r="AH99" s="40">
        <v>86</v>
      </c>
      <c r="AI99" s="40">
        <v>128</v>
      </c>
      <c r="AJ99" s="40">
        <v>8</v>
      </c>
      <c r="AK99" s="40">
        <v>9</v>
      </c>
      <c r="AL99" s="40">
        <v>3</v>
      </c>
      <c r="AM99" s="40">
        <v>45</v>
      </c>
      <c r="AN99" s="40">
        <v>45</v>
      </c>
      <c r="AO99" s="40">
        <v>100</v>
      </c>
      <c r="AP99" s="15">
        <v>27</v>
      </c>
      <c r="AQ99" s="15">
        <v>6</v>
      </c>
      <c r="AR99" s="15">
        <v>36</v>
      </c>
      <c r="AS99" s="15">
        <v>9</v>
      </c>
      <c r="AT99" s="15">
        <v>48</v>
      </c>
      <c r="AU99" s="15">
        <v>4</v>
      </c>
      <c r="AV99" s="15">
        <v>45</v>
      </c>
      <c r="AW99" s="15">
        <v>1</v>
      </c>
      <c r="AX99" s="15">
        <v>47</v>
      </c>
      <c r="AY99" s="15">
        <v>1</v>
      </c>
      <c r="AZ99" s="16">
        <v>55</v>
      </c>
      <c r="BA99" s="16"/>
      <c r="BB99" s="16">
        <v>60</v>
      </c>
      <c r="BC99" s="16"/>
      <c r="BD99" s="16">
        <v>60</v>
      </c>
      <c r="BE99" s="16"/>
      <c r="BF99" s="16">
        <v>8</v>
      </c>
      <c r="BG99" s="16">
        <v>5</v>
      </c>
      <c r="BH99" s="16">
        <v>13</v>
      </c>
      <c r="BI99" s="16">
        <v>8</v>
      </c>
      <c r="BJ99" s="16">
        <v>10</v>
      </c>
      <c r="BK99" s="16">
        <v>18</v>
      </c>
      <c r="BL99" s="16">
        <v>6</v>
      </c>
      <c r="BM99" s="16">
        <v>9</v>
      </c>
      <c r="BN99" s="16">
        <v>8</v>
      </c>
      <c r="BO99" s="16">
        <v>6</v>
      </c>
      <c r="BP99" s="16">
        <v>5</v>
      </c>
      <c r="BQ99" s="16">
        <v>34</v>
      </c>
      <c r="BR99" s="16">
        <v>5</v>
      </c>
      <c r="BS99" s="16">
        <v>4</v>
      </c>
      <c r="BT99" s="16">
        <v>48</v>
      </c>
      <c r="BU99" s="16">
        <v>169</v>
      </c>
      <c r="BV99" s="16">
        <v>217</v>
      </c>
      <c r="BW99" s="16">
        <v>30</v>
      </c>
      <c r="BX99" s="16">
        <v>0</v>
      </c>
      <c r="BY99" s="16">
        <v>26</v>
      </c>
      <c r="BZ99" s="15">
        <v>280</v>
      </c>
      <c r="CA99" s="40">
        <v>3</v>
      </c>
      <c r="CB99" s="40">
        <v>4</v>
      </c>
      <c r="CC99" s="40">
        <v>4</v>
      </c>
      <c r="CD99" s="40">
        <v>24</v>
      </c>
      <c r="CE99" s="40">
        <v>95</v>
      </c>
      <c r="CF99" s="40">
        <v>119</v>
      </c>
      <c r="CG99" s="40">
        <v>8</v>
      </c>
      <c r="CH99" s="40">
        <v>8</v>
      </c>
      <c r="CI99" s="40">
        <v>16</v>
      </c>
      <c r="CJ99" s="40">
        <v>0</v>
      </c>
      <c r="CK99" s="40">
        <v>61</v>
      </c>
      <c r="CL99" s="40">
        <v>61</v>
      </c>
      <c r="CM99" s="40">
        <v>100</v>
      </c>
      <c r="CN99" s="40">
        <v>11</v>
      </c>
      <c r="CO99" s="40">
        <v>63</v>
      </c>
      <c r="CP99" s="40">
        <v>74</v>
      </c>
      <c r="CQ99" s="40">
        <v>6</v>
      </c>
      <c r="CR99" s="40">
        <v>8</v>
      </c>
      <c r="CS99" s="40">
        <v>2</v>
      </c>
      <c r="CT99" s="40">
        <v>42</v>
      </c>
      <c r="CU99" s="40">
        <v>36</v>
      </c>
      <c r="CV99" s="40">
        <v>85.71</v>
      </c>
      <c r="CW99" s="19">
        <f t="shared" si="5"/>
        <v>2</v>
      </c>
      <c r="CX99" s="19">
        <f t="shared" si="6"/>
        <v>0</v>
      </c>
      <c r="CY99" s="19">
        <f t="shared" si="7"/>
        <v>0</v>
      </c>
      <c r="CZ99" s="19">
        <f t="shared" si="8"/>
        <v>6</v>
      </c>
    </row>
    <row r="100" spans="1:104" ht="15.75" customHeight="1" x14ac:dyDescent="0.35">
      <c r="A100" s="15" t="s">
        <v>224</v>
      </c>
      <c r="B100" s="16">
        <v>1</v>
      </c>
      <c r="C100" s="15" t="s">
        <v>109</v>
      </c>
      <c r="D100" s="16">
        <v>7</v>
      </c>
      <c r="E100" s="15">
        <v>1</v>
      </c>
      <c r="F100" s="15" t="s">
        <v>188</v>
      </c>
      <c r="G100" s="15" t="s">
        <v>107</v>
      </c>
      <c r="H100" s="15">
        <v>2</v>
      </c>
      <c r="I100" s="15">
        <v>3</v>
      </c>
      <c r="J100" s="17"/>
      <c r="K100" s="16">
        <v>4</v>
      </c>
      <c r="L100" s="16">
        <v>4</v>
      </c>
      <c r="M100" s="16">
        <v>44</v>
      </c>
      <c r="N100" s="16">
        <v>146</v>
      </c>
      <c r="O100" s="16">
        <v>190</v>
      </c>
      <c r="P100" s="16">
        <v>24</v>
      </c>
      <c r="Q100" s="16">
        <v>2</v>
      </c>
      <c r="R100" s="16">
        <v>25</v>
      </c>
      <c r="S100" s="15">
        <v>484</v>
      </c>
      <c r="T100" s="40">
        <v>4</v>
      </c>
      <c r="U100" s="40">
        <v>6</v>
      </c>
      <c r="V100" s="40">
        <v>1</v>
      </c>
      <c r="W100" s="40">
        <v>43</v>
      </c>
      <c r="X100" s="40">
        <v>140</v>
      </c>
      <c r="Y100" s="40">
        <v>183</v>
      </c>
      <c r="Z100" s="40">
        <v>8</v>
      </c>
      <c r="AA100" s="40">
        <v>8</v>
      </c>
      <c r="AB100" s="40">
        <v>16</v>
      </c>
      <c r="AC100" s="40">
        <v>0</v>
      </c>
      <c r="AD100" s="42">
        <v>50</v>
      </c>
      <c r="AE100" s="40">
        <v>61</v>
      </c>
      <c r="AF100" s="40">
        <v>122</v>
      </c>
      <c r="AG100" s="40">
        <v>69</v>
      </c>
      <c r="AH100" s="40">
        <v>15</v>
      </c>
      <c r="AI100" s="40">
        <v>84</v>
      </c>
      <c r="AJ100" s="40">
        <v>6</v>
      </c>
      <c r="AK100" s="40">
        <v>5</v>
      </c>
      <c r="AL100" s="40">
        <v>3</v>
      </c>
      <c r="AM100" s="40">
        <v>28</v>
      </c>
      <c r="AN100" s="40">
        <v>28</v>
      </c>
      <c r="AO100" s="40">
        <v>100</v>
      </c>
      <c r="AP100" s="15">
        <v>24</v>
      </c>
      <c r="AQ100" s="15">
        <v>7</v>
      </c>
      <c r="AR100" s="15">
        <v>39</v>
      </c>
      <c r="AS100" s="15">
        <v>7</v>
      </c>
      <c r="AT100" s="15">
        <v>53</v>
      </c>
      <c r="AU100" s="15">
        <v>2</v>
      </c>
      <c r="AV100" s="15">
        <v>42</v>
      </c>
      <c r="AW100" s="15">
        <v>2</v>
      </c>
      <c r="AX100" s="15">
        <v>34</v>
      </c>
      <c r="AY100" s="15">
        <v>1</v>
      </c>
      <c r="AZ100" s="15">
        <v>51</v>
      </c>
      <c r="BA100" s="15">
        <v>2</v>
      </c>
      <c r="BB100" s="16">
        <v>59</v>
      </c>
      <c r="BC100" s="16"/>
      <c r="BD100" s="16">
        <v>52</v>
      </c>
      <c r="BE100" s="16"/>
      <c r="BF100" s="16">
        <v>8</v>
      </c>
      <c r="BG100" s="16">
        <v>5</v>
      </c>
      <c r="BH100" s="16">
        <v>13</v>
      </c>
      <c r="BI100" s="16">
        <v>8</v>
      </c>
      <c r="BJ100" s="16">
        <v>10</v>
      </c>
      <c r="BK100" s="16">
        <v>18</v>
      </c>
      <c r="BL100" s="16">
        <v>5</v>
      </c>
      <c r="BM100" s="16">
        <v>8</v>
      </c>
      <c r="BN100" s="16">
        <v>8</v>
      </c>
      <c r="BO100" s="16">
        <v>7</v>
      </c>
      <c r="BP100" s="16">
        <v>5</v>
      </c>
      <c r="BQ100" s="16">
        <v>33</v>
      </c>
      <c r="BR100" s="16">
        <v>4</v>
      </c>
      <c r="BS100" s="16">
        <v>5</v>
      </c>
      <c r="BT100" s="16">
        <v>41</v>
      </c>
      <c r="BU100" s="16">
        <v>138</v>
      </c>
      <c r="BV100" s="16">
        <v>179</v>
      </c>
      <c r="BW100" s="16">
        <v>34</v>
      </c>
      <c r="BX100" s="16">
        <v>0</v>
      </c>
      <c r="BY100" s="16">
        <v>29</v>
      </c>
      <c r="BZ100" s="15">
        <v>305</v>
      </c>
      <c r="CA100" s="40">
        <v>3</v>
      </c>
      <c r="CB100" s="40">
        <v>6</v>
      </c>
      <c r="CC100" s="40">
        <v>2</v>
      </c>
      <c r="CD100" s="40">
        <v>33</v>
      </c>
      <c r="CE100" s="40">
        <v>164</v>
      </c>
      <c r="CF100" s="40">
        <v>197</v>
      </c>
      <c r="CG100" s="40">
        <v>8</v>
      </c>
      <c r="CH100" s="40">
        <v>8</v>
      </c>
      <c r="CI100" s="40">
        <v>16</v>
      </c>
      <c r="CJ100" s="40">
        <v>0</v>
      </c>
      <c r="CK100" s="40">
        <v>61</v>
      </c>
      <c r="CL100" s="40">
        <v>61</v>
      </c>
      <c r="CM100" s="40">
        <v>100</v>
      </c>
      <c r="CN100" s="40">
        <v>26</v>
      </c>
      <c r="CO100" s="40">
        <v>43</v>
      </c>
      <c r="CP100" s="40">
        <v>69</v>
      </c>
      <c r="CQ100" s="40">
        <v>6</v>
      </c>
      <c r="CR100" s="40">
        <v>5</v>
      </c>
      <c r="CS100" s="40">
        <v>3</v>
      </c>
      <c r="CT100" s="40">
        <v>32</v>
      </c>
      <c r="CU100" s="40">
        <v>26</v>
      </c>
      <c r="CV100" s="40">
        <v>81.25</v>
      </c>
      <c r="CW100" s="37">
        <f t="shared" si="5"/>
        <v>-11</v>
      </c>
      <c r="CX100" s="19">
        <f t="shared" si="6"/>
        <v>0</v>
      </c>
      <c r="CY100" s="19">
        <f t="shared" si="7"/>
        <v>0</v>
      </c>
      <c r="CZ100" s="19">
        <f t="shared" si="8"/>
        <v>6</v>
      </c>
    </row>
    <row r="101" spans="1:104" ht="15.75" customHeight="1" x14ac:dyDescent="0.35">
      <c r="A101" s="15" t="s">
        <v>225</v>
      </c>
      <c r="B101" s="16">
        <v>1</v>
      </c>
      <c r="C101" s="15" t="s">
        <v>105</v>
      </c>
      <c r="D101" s="16">
        <v>7</v>
      </c>
      <c r="E101" s="15">
        <v>1</v>
      </c>
      <c r="F101" s="15" t="s">
        <v>188</v>
      </c>
      <c r="G101" s="15" t="s">
        <v>107</v>
      </c>
      <c r="H101" s="15">
        <v>2</v>
      </c>
      <c r="I101" s="15">
        <v>3</v>
      </c>
      <c r="J101" s="15" t="s">
        <v>226</v>
      </c>
      <c r="K101" s="16">
        <v>5</v>
      </c>
      <c r="L101" s="16">
        <v>4</v>
      </c>
      <c r="M101" s="16">
        <v>43</v>
      </c>
      <c r="N101" s="16">
        <v>93</v>
      </c>
      <c r="O101" s="16">
        <v>136</v>
      </c>
      <c r="P101" s="16">
        <v>23</v>
      </c>
      <c r="Q101" s="16">
        <v>1</v>
      </c>
      <c r="R101" s="16">
        <v>24</v>
      </c>
      <c r="S101" s="15">
        <v>328</v>
      </c>
      <c r="T101" s="40">
        <v>3</v>
      </c>
      <c r="U101" s="40">
        <v>5</v>
      </c>
      <c r="V101" s="40">
        <v>3</v>
      </c>
      <c r="W101" s="40">
        <v>36</v>
      </c>
      <c r="X101" s="40">
        <v>134</v>
      </c>
      <c r="Y101" s="40">
        <v>170</v>
      </c>
      <c r="Z101" s="40">
        <v>8</v>
      </c>
      <c r="AA101" s="40">
        <v>8</v>
      </c>
      <c r="AB101" s="40">
        <v>16</v>
      </c>
      <c r="AC101" s="40">
        <v>0</v>
      </c>
      <c r="AD101" s="40">
        <v>77</v>
      </c>
      <c r="AE101" s="40">
        <v>61</v>
      </c>
      <c r="AF101" s="40">
        <v>79.22</v>
      </c>
      <c r="AG101" s="40">
        <v>37</v>
      </c>
      <c r="AH101" s="40">
        <v>48</v>
      </c>
      <c r="AI101" s="40">
        <v>85</v>
      </c>
      <c r="AJ101" s="40">
        <v>7</v>
      </c>
      <c r="AK101" s="40">
        <v>7</v>
      </c>
      <c r="AL101" s="40">
        <v>3</v>
      </c>
      <c r="AM101" s="40">
        <v>42</v>
      </c>
      <c r="AN101" s="40">
        <v>38</v>
      </c>
      <c r="AO101" s="40">
        <v>90.48</v>
      </c>
      <c r="AP101" s="15">
        <v>26</v>
      </c>
      <c r="AQ101" s="15">
        <v>5</v>
      </c>
      <c r="AR101" s="15">
        <v>44</v>
      </c>
      <c r="AS101" s="15">
        <v>2</v>
      </c>
      <c r="AT101" s="15">
        <v>48</v>
      </c>
      <c r="AU101" s="15">
        <v>2</v>
      </c>
      <c r="AV101" s="16">
        <v>48</v>
      </c>
      <c r="AW101" s="16"/>
      <c r="AX101" s="16">
        <v>29</v>
      </c>
      <c r="AY101" s="16"/>
      <c r="AZ101" s="16">
        <v>57</v>
      </c>
      <c r="BA101" s="16"/>
      <c r="BB101" s="16">
        <v>63</v>
      </c>
      <c r="BC101" s="16"/>
      <c r="BD101" s="16">
        <v>57</v>
      </c>
      <c r="BE101" s="16"/>
      <c r="BF101" s="16">
        <v>8</v>
      </c>
      <c r="BG101" s="16">
        <v>5</v>
      </c>
      <c r="BH101" s="16">
        <v>13</v>
      </c>
      <c r="BI101" s="16">
        <v>8</v>
      </c>
      <c r="BJ101" s="16">
        <v>8</v>
      </c>
      <c r="BK101" s="16">
        <v>16</v>
      </c>
      <c r="BL101" s="16">
        <v>5</v>
      </c>
      <c r="BM101" s="16">
        <v>8</v>
      </c>
      <c r="BN101" s="16">
        <v>8</v>
      </c>
      <c r="BO101" s="16">
        <v>6</v>
      </c>
      <c r="BP101" s="16">
        <v>5</v>
      </c>
      <c r="BQ101" s="16">
        <v>32</v>
      </c>
      <c r="BR101" s="16">
        <v>4</v>
      </c>
      <c r="BS101" s="16">
        <v>3</v>
      </c>
      <c r="BT101" s="16">
        <v>52</v>
      </c>
      <c r="BU101" s="16">
        <v>101</v>
      </c>
      <c r="BV101" s="16">
        <v>153</v>
      </c>
      <c r="BW101" s="16">
        <v>22</v>
      </c>
      <c r="BX101" s="16">
        <v>0</v>
      </c>
      <c r="BY101" s="16">
        <v>25</v>
      </c>
      <c r="BZ101" s="15">
        <v>231</v>
      </c>
      <c r="CA101" s="40">
        <v>3</v>
      </c>
      <c r="CB101" s="40">
        <v>4</v>
      </c>
      <c r="CC101" s="40">
        <v>4</v>
      </c>
      <c r="CD101" s="40">
        <v>19</v>
      </c>
      <c r="CE101" s="40">
        <v>86</v>
      </c>
      <c r="CF101" s="40">
        <v>105</v>
      </c>
      <c r="CG101" s="40">
        <v>8</v>
      </c>
      <c r="CH101" s="40">
        <v>8</v>
      </c>
      <c r="CI101" s="40">
        <v>16</v>
      </c>
      <c r="CJ101" s="40">
        <v>0</v>
      </c>
      <c r="CK101" s="40">
        <v>67</v>
      </c>
      <c r="CL101" s="40">
        <v>61</v>
      </c>
      <c r="CM101" s="40">
        <v>91.04</v>
      </c>
      <c r="CN101" s="40">
        <v>25</v>
      </c>
      <c r="CO101" s="40">
        <v>20</v>
      </c>
      <c r="CP101" s="40">
        <v>45</v>
      </c>
      <c r="CQ101" s="40">
        <v>6</v>
      </c>
      <c r="CR101" s="40">
        <v>5</v>
      </c>
      <c r="CS101" s="40">
        <v>3</v>
      </c>
      <c r="CT101" s="40">
        <v>28</v>
      </c>
      <c r="CU101" s="40">
        <v>28</v>
      </c>
      <c r="CV101" s="40">
        <v>100</v>
      </c>
      <c r="CW101" s="19">
        <f t="shared" si="5"/>
        <v>16</v>
      </c>
      <c r="CX101" s="19">
        <f t="shared" si="6"/>
        <v>6</v>
      </c>
      <c r="CY101" s="19">
        <f t="shared" si="7"/>
        <v>4</v>
      </c>
      <c r="CZ101" s="19">
        <f t="shared" si="8"/>
        <v>0</v>
      </c>
    </row>
    <row r="102" spans="1:104" ht="15.75" customHeight="1" x14ac:dyDescent="0.35">
      <c r="A102" s="15" t="s">
        <v>227</v>
      </c>
      <c r="B102" s="16">
        <v>1</v>
      </c>
      <c r="C102" s="15" t="s">
        <v>105</v>
      </c>
      <c r="D102" s="16">
        <v>7</v>
      </c>
      <c r="E102" s="15">
        <v>1</v>
      </c>
      <c r="F102" s="15" t="s">
        <v>188</v>
      </c>
      <c r="G102" s="15" t="s">
        <v>107</v>
      </c>
      <c r="H102" s="15">
        <v>2</v>
      </c>
      <c r="I102" s="15">
        <v>3</v>
      </c>
      <c r="J102" s="17"/>
      <c r="K102" s="16">
        <v>4</v>
      </c>
      <c r="L102" s="16">
        <v>0</v>
      </c>
      <c r="M102" s="16">
        <v>40</v>
      </c>
      <c r="N102" s="17"/>
      <c r="O102" s="16">
        <v>189</v>
      </c>
      <c r="P102" s="16">
        <v>30</v>
      </c>
      <c r="Q102" s="16">
        <v>3</v>
      </c>
      <c r="R102" s="16">
        <v>24</v>
      </c>
      <c r="S102" s="15">
        <v>381</v>
      </c>
      <c r="T102" s="40">
        <v>1</v>
      </c>
      <c r="U102" s="40">
        <v>2</v>
      </c>
      <c r="V102" s="40">
        <v>0</v>
      </c>
      <c r="W102" s="40">
        <v>55</v>
      </c>
      <c r="X102" s="40">
        <v>290</v>
      </c>
      <c r="Y102" s="40">
        <v>345</v>
      </c>
      <c r="Z102" s="40">
        <v>8</v>
      </c>
      <c r="AA102" s="40">
        <v>9</v>
      </c>
      <c r="AB102" s="40">
        <v>15</v>
      </c>
      <c r="AC102" s="40">
        <v>1</v>
      </c>
      <c r="AD102" s="40">
        <v>63</v>
      </c>
      <c r="AE102" s="40">
        <v>63</v>
      </c>
      <c r="AF102" s="40">
        <v>100</v>
      </c>
      <c r="AG102" s="40">
        <v>13</v>
      </c>
      <c r="AH102" s="40">
        <v>76</v>
      </c>
      <c r="AI102" s="40">
        <v>89</v>
      </c>
      <c r="AJ102" s="40">
        <v>6</v>
      </c>
      <c r="AK102" s="40">
        <v>5</v>
      </c>
      <c r="AL102" s="40">
        <v>3</v>
      </c>
      <c r="AM102" s="40">
        <v>28</v>
      </c>
      <c r="AN102" s="40">
        <v>28</v>
      </c>
      <c r="AO102" s="40">
        <v>100</v>
      </c>
      <c r="AP102" s="15">
        <v>24</v>
      </c>
      <c r="AQ102" s="15">
        <v>7</v>
      </c>
      <c r="AR102" s="15">
        <v>32</v>
      </c>
      <c r="AS102" s="15">
        <v>10</v>
      </c>
      <c r="AT102" s="15">
        <v>51</v>
      </c>
      <c r="AU102" s="15">
        <v>3</v>
      </c>
      <c r="AV102" s="15">
        <v>44</v>
      </c>
      <c r="AW102" s="15">
        <v>1</v>
      </c>
      <c r="AX102" s="16">
        <v>48</v>
      </c>
      <c r="AY102" s="16"/>
      <c r="AZ102" s="16">
        <v>56</v>
      </c>
      <c r="BA102" s="16"/>
      <c r="BB102" s="16">
        <v>59</v>
      </c>
      <c r="BC102" s="16"/>
      <c r="BD102" s="16">
        <v>56</v>
      </c>
      <c r="BE102" s="16"/>
      <c r="BF102" s="16">
        <v>10</v>
      </c>
      <c r="BG102" s="16">
        <v>9</v>
      </c>
      <c r="BH102" s="16">
        <v>19</v>
      </c>
      <c r="BI102" s="16">
        <v>12</v>
      </c>
      <c r="BJ102" s="16">
        <v>9</v>
      </c>
      <c r="BK102" s="16">
        <v>21</v>
      </c>
      <c r="BL102" s="16">
        <v>7</v>
      </c>
      <c r="BM102" s="16">
        <v>14</v>
      </c>
      <c r="BN102" s="16">
        <v>13</v>
      </c>
      <c r="BO102" s="16">
        <v>7</v>
      </c>
      <c r="BP102" s="16">
        <v>5</v>
      </c>
      <c r="BQ102" s="16">
        <v>46</v>
      </c>
      <c r="BR102" s="16">
        <v>3</v>
      </c>
      <c r="BS102" s="16">
        <v>0</v>
      </c>
      <c r="BT102" s="16">
        <v>43</v>
      </c>
      <c r="BU102" s="16">
        <v>97</v>
      </c>
      <c r="BV102" s="16">
        <v>140</v>
      </c>
      <c r="BW102" s="16">
        <v>31</v>
      </c>
      <c r="BX102" s="16">
        <v>1</v>
      </c>
      <c r="BY102" s="16">
        <v>25</v>
      </c>
      <c r="BZ102" s="15">
        <v>305</v>
      </c>
      <c r="CA102" s="40">
        <v>3</v>
      </c>
      <c r="CB102" s="40">
        <v>4</v>
      </c>
      <c r="CC102" s="40">
        <v>1</v>
      </c>
      <c r="CD102" s="40">
        <v>41</v>
      </c>
      <c r="CE102" s="40">
        <v>144</v>
      </c>
      <c r="CF102" s="40">
        <v>185</v>
      </c>
      <c r="CG102" s="40">
        <v>9</v>
      </c>
      <c r="CH102" s="40">
        <v>8</v>
      </c>
      <c r="CI102" s="40">
        <v>16</v>
      </c>
      <c r="CJ102" s="40">
        <v>0</v>
      </c>
      <c r="CK102" s="40">
        <v>71</v>
      </c>
      <c r="CL102" s="40">
        <v>61</v>
      </c>
      <c r="CM102" s="40">
        <v>85.92</v>
      </c>
      <c r="CN102" s="40">
        <v>0</v>
      </c>
      <c r="CO102" s="40">
        <v>22</v>
      </c>
      <c r="CP102" s="40">
        <v>22</v>
      </c>
      <c r="CQ102" s="40">
        <v>4</v>
      </c>
      <c r="CR102" s="40">
        <v>1</v>
      </c>
      <c r="CS102" s="40">
        <v>3</v>
      </c>
      <c r="CT102" s="40">
        <v>11</v>
      </c>
      <c r="CU102" s="40">
        <v>9</v>
      </c>
      <c r="CV102" s="40">
        <v>81.819999999999993</v>
      </c>
      <c r="CW102" s="19">
        <f t="shared" si="5"/>
        <v>0</v>
      </c>
      <c r="CX102" s="19">
        <f t="shared" si="6"/>
        <v>10</v>
      </c>
      <c r="CY102" s="19">
        <f t="shared" si="7"/>
        <v>0</v>
      </c>
      <c r="CZ102" s="19">
        <f t="shared" si="8"/>
        <v>2</v>
      </c>
    </row>
    <row r="103" spans="1:104" ht="15.75" customHeight="1" x14ac:dyDescent="0.35">
      <c r="A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</row>
    <row r="104" spans="1:104" ht="15.75" customHeight="1" x14ac:dyDescent="0.35"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</row>
    <row r="105" spans="1:104" ht="15.75" customHeight="1" x14ac:dyDescent="0.35"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</row>
    <row r="106" spans="1:104" ht="15.75" customHeight="1" x14ac:dyDescent="0.35"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</row>
    <row r="107" spans="1:104" ht="15.75" customHeight="1" x14ac:dyDescent="0.35"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</row>
    <row r="108" spans="1:104" ht="15.75" customHeight="1" x14ac:dyDescent="0.35"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</row>
    <row r="109" spans="1:104" ht="15.75" customHeight="1" x14ac:dyDescent="0.35"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</row>
    <row r="110" spans="1:104" ht="15.75" customHeight="1" x14ac:dyDescent="0.35"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</row>
    <row r="111" spans="1:104" ht="15.75" customHeight="1" x14ac:dyDescent="0.35"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</row>
    <row r="112" spans="1:104" ht="15.75" customHeight="1" x14ac:dyDescent="0.35"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</row>
    <row r="113" spans="20:104" ht="15.75" customHeight="1" x14ac:dyDescent="0.35"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</row>
    <row r="114" spans="20:104" ht="15.75" customHeight="1" x14ac:dyDescent="0.35"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</row>
    <row r="115" spans="20:104" ht="15.75" customHeight="1" x14ac:dyDescent="0.35"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</row>
    <row r="116" spans="20:104" ht="15.75" customHeight="1" x14ac:dyDescent="0.35"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</row>
    <row r="117" spans="20:104" ht="15.75" customHeight="1" x14ac:dyDescent="0.35"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</row>
    <row r="118" spans="20:104" ht="15.75" customHeight="1" x14ac:dyDescent="0.35"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41"/>
      <c r="CB118" s="41"/>
      <c r="CC118" s="41"/>
      <c r="CD118" s="41"/>
      <c r="CE118" s="41"/>
      <c r="CF118" s="41"/>
      <c r="CG118" s="41"/>
      <c r="CH118" s="41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  <c r="CS118" s="41"/>
      <c r="CT118" s="41"/>
      <c r="CU118" s="41"/>
      <c r="CV118" s="41"/>
      <c r="CW118" s="41"/>
      <c r="CX118" s="41"/>
      <c r="CY118" s="41"/>
      <c r="CZ118" s="41"/>
    </row>
    <row r="119" spans="20:104" ht="15.75" customHeight="1" x14ac:dyDescent="0.35"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41"/>
      <c r="CB119" s="41"/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</row>
    <row r="120" spans="20:104" ht="15.75" customHeight="1" x14ac:dyDescent="0.35"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41"/>
      <c r="CB120" s="41"/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</row>
    <row r="121" spans="20:104" ht="15.75" customHeight="1" x14ac:dyDescent="0.35"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41"/>
      <c r="CB121" s="41"/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</row>
    <row r="122" spans="20:104" ht="15.75" customHeight="1" x14ac:dyDescent="0.35"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41"/>
      <c r="CB122" s="41"/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</row>
    <row r="123" spans="20:104" ht="15.75" customHeight="1" x14ac:dyDescent="0.35"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41"/>
      <c r="CB123" s="41"/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</row>
    <row r="124" spans="20:104" ht="15.75" customHeight="1" x14ac:dyDescent="0.35"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41"/>
      <c r="CB124" s="41"/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</row>
    <row r="125" spans="20:104" ht="15.75" customHeight="1" x14ac:dyDescent="0.35"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41"/>
      <c r="CB125" s="41"/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</row>
    <row r="126" spans="20:104" ht="15.75" customHeight="1" x14ac:dyDescent="0.35"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41"/>
      <c r="CB126" s="41"/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</row>
    <row r="127" spans="20:104" ht="15.75" customHeight="1" x14ac:dyDescent="0.35"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41"/>
      <c r="CB127" s="41"/>
      <c r="CC127" s="41"/>
      <c r="CD127" s="41"/>
      <c r="CE127" s="41"/>
      <c r="CF127" s="41"/>
      <c r="CG127" s="41"/>
      <c r="CH127" s="41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  <c r="CS127" s="41"/>
      <c r="CT127" s="41"/>
      <c r="CU127" s="41"/>
      <c r="CV127" s="41"/>
      <c r="CW127" s="41"/>
      <c r="CX127" s="41"/>
      <c r="CY127" s="41"/>
      <c r="CZ127" s="41"/>
    </row>
    <row r="128" spans="20:104" ht="15.75" customHeight="1" x14ac:dyDescent="0.35"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41"/>
      <c r="CB128" s="41"/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</row>
    <row r="129" spans="20:104" ht="15.75" customHeight="1" x14ac:dyDescent="0.35"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41"/>
      <c r="CB129" s="41"/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</row>
    <row r="130" spans="20:104" ht="15.75" customHeight="1" x14ac:dyDescent="0.35"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41"/>
      <c r="CB130" s="41"/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</row>
    <row r="131" spans="20:104" ht="15.75" customHeight="1" x14ac:dyDescent="0.35"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41"/>
      <c r="CB131" s="41"/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</row>
    <row r="132" spans="20:104" ht="15.75" customHeight="1" x14ac:dyDescent="0.35"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41"/>
      <c r="CB132" s="41"/>
      <c r="CC132" s="41"/>
      <c r="CD132" s="41"/>
      <c r="CE132" s="41"/>
      <c r="CF132" s="41"/>
      <c r="CG132" s="41"/>
      <c r="CH132" s="41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  <c r="CS132" s="41"/>
      <c r="CT132" s="41"/>
      <c r="CU132" s="41"/>
      <c r="CV132" s="41"/>
      <c r="CW132" s="41"/>
      <c r="CX132" s="41"/>
      <c r="CY132" s="41"/>
      <c r="CZ132" s="41"/>
    </row>
    <row r="133" spans="20:104" ht="15.75" customHeight="1" x14ac:dyDescent="0.35"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41"/>
      <c r="CB133" s="41"/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</row>
    <row r="134" spans="20:104" ht="15.75" customHeight="1" x14ac:dyDescent="0.35"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41"/>
      <c r="CB134" s="41"/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</row>
    <row r="135" spans="20:104" ht="15.75" customHeight="1" x14ac:dyDescent="0.35"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41"/>
      <c r="CB135" s="41"/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</row>
    <row r="136" spans="20:104" ht="15.75" customHeight="1" x14ac:dyDescent="0.35"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41"/>
      <c r="CB136" s="41"/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</row>
    <row r="137" spans="20:104" ht="15.75" customHeight="1" x14ac:dyDescent="0.35"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41"/>
      <c r="CB137" s="41"/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</row>
    <row r="138" spans="20:104" ht="15.75" customHeight="1" x14ac:dyDescent="0.35"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41"/>
      <c r="CB138" s="41"/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</row>
    <row r="139" spans="20:104" ht="15.75" customHeight="1" x14ac:dyDescent="0.35"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41"/>
      <c r="CB139" s="41"/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</row>
    <row r="140" spans="20:104" ht="15.75" customHeight="1" x14ac:dyDescent="0.35"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41"/>
      <c r="CB140" s="41"/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</row>
    <row r="141" spans="20:104" ht="15.75" customHeight="1" x14ac:dyDescent="0.35"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</row>
    <row r="142" spans="20:104" ht="15.75" customHeight="1" x14ac:dyDescent="0.35"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</row>
    <row r="143" spans="20:104" ht="15.75" customHeight="1" x14ac:dyDescent="0.35"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</row>
    <row r="144" spans="20:104" ht="15.75" customHeight="1" x14ac:dyDescent="0.35"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</row>
    <row r="145" spans="20:104" ht="15.75" customHeight="1" x14ac:dyDescent="0.35"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</row>
    <row r="146" spans="20:104" ht="15.75" customHeight="1" x14ac:dyDescent="0.35"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</row>
    <row r="147" spans="20:104" ht="15.75" customHeight="1" x14ac:dyDescent="0.35"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41"/>
      <c r="CB147" s="41"/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</row>
    <row r="148" spans="20:104" ht="15.75" customHeight="1" x14ac:dyDescent="0.35"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41"/>
      <c r="CB148" s="41"/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</row>
    <row r="149" spans="20:104" ht="15.75" customHeight="1" x14ac:dyDescent="0.35"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41"/>
      <c r="CB149" s="41"/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</row>
    <row r="150" spans="20:104" ht="15.75" customHeight="1" x14ac:dyDescent="0.35"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41"/>
      <c r="CB150" s="41"/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</row>
    <row r="151" spans="20:104" ht="15.75" customHeight="1" x14ac:dyDescent="0.35"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41"/>
      <c r="CB151" s="41"/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</row>
    <row r="152" spans="20:104" ht="15.75" customHeight="1" x14ac:dyDescent="0.35"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41"/>
      <c r="CB152" s="41"/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</row>
    <row r="153" spans="20:104" ht="15.75" customHeight="1" x14ac:dyDescent="0.35"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41"/>
      <c r="CB153" s="41"/>
      <c r="CC153" s="41"/>
      <c r="CD153" s="41"/>
      <c r="CE153" s="41"/>
      <c r="CF153" s="41"/>
      <c r="CG153" s="41"/>
      <c r="CH153" s="41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  <c r="CS153" s="41"/>
      <c r="CT153" s="41"/>
      <c r="CU153" s="41"/>
      <c r="CV153" s="41"/>
      <c r="CW153" s="41"/>
      <c r="CX153" s="41"/>
      <c r="CY153" s="41"/>
      <c r="CZ153" s="41"/>
    </row>
    <row r="154" spans="20:104" ht="15.75" customHeight="1" x14ac:dyDescent="0.35"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41"/>
      <c r="CB154" s="41"/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</row>
    <row r="155" spans="20:104" ht="15.75" customHeight="1" x14ac:dyDescent="0.35"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41"/>
      <c r="CB155" s="41"/>
      <c r="CC155" s="41"/>
      <c r="CD155" s="41"/>
      <c r="CE155" s="41"/>
      <c r="CF155" s="41"/>
      <c r="CG155" s="41"/>
      <c r="CH155" s="41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  <c r="CS155" s="41"/>
      <c r="CT155" s="41"/>
      <c r="CU155" s="41"/>
      <c r="CV155" s="41"/>
      <c r="CW155" s="41"/>
      <c r="CX155" s="41"/>
      <c r="CY155" s="41"/>
      <c r="CZ155" s="41"/>
    </row>
    <row r="156" spans="20:104" ht="15.75" customHeight="1" x14ac:dyDescent="0.35"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41"/>
      <c r="CB156" s="41"/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</row>
    <row r="157" spans="20:104" ht="15.75" customHeight="1" x14ac:dyDescent="0.35"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41"/>
      <c r="CB157" s="41"/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</row>
    <row r="158" spans="20:104" ht="15.75" customHeight="1" x14ac:dyDescent="0.35"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41"/>
      <c r="CB158" s="41"/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</row>
    <row r="159" spans="20:104" ht="15.75" customHeight="1" x14ac:dyDescent="0.35"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41"/>
      <c r="CB159" s="41"/>
      <c r="CC159" s="41"/>
      <c r="CD159" s="41"/>
      <c r="CE159" s="41"/>
      <c r="CF159" s="41"/>
      <c r="CG159" s="41"/>
      <c r="CH159" s="41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  <c r="CS159" s="41"/>
      <c r="CT159" s="41"/>
      <c r="CU159" s="41"/>
      <c r="CV159" s="41"/>
      <c r="CW159" s="41"/>
      <c r="CX159" s="41"/>
      <c r="CY159" s="41"/>
      <c r="CZ159" s="41"/>
    </row>
    <row r="160" spans="20:104" ht="15.75" customHeight="1" x14ac:dyDescent="0.35"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41"/>
      <c r="CB160" s="41"/>
      <c r="CC160" s="41"/>
      <c r="CD160" s="41"/>
      <c r="CE160" s="41"/>
      <c r="CF160" s="41"/>
      <c r="CG160" s="41"/>
      <c r="CH160" s="41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  <c r="CS160" s="41"/>
      <c r="CT160" s="41"/>
      <c r="CU160" s="41"/>
      <c r="CV160" s="41"/>
      <c r="CW160" s="41"/>
      <c r="CX160" s="41"/>
      <c r="CY160" s="41"/>
      <c r="CZ160" s="41"/>
    </row>
    <row r="161" spans="20:104" ht="15.75" customHeight="1" x14ac:dyDescent="0.35"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41"/>
      <c r="CB161" s="41"/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</row>
    <row r="162" spans="20:104" ht="15.75" customHeight="1" x14ac:dyDescent="0.35"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41"/>
      <c r="CB162" s="41"/>
      <c r="CC162" s="41"/>
      <c r="CD162" s="41"/>
      <c r="CE162" s="41"/>
      <c r="CF162" s="41"/>
      <c r="CG162" s="41"/>
      <c r="CH162" s="41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  <c r="CS162" s="41"/>
      <c r="CT162" s="41"/>
      <c r="CU162" s="41"/>
      <c r="CV162" s="41"/>
      <c r="CW162" s="41"/>
      <c r="CX162" s="41"/>
      <c r="CY162" s="41"/>
      <c r="CZ162" s="41"/>
    </row>
    <row r="163" spans="20:104" ht="15.75" customHeight="1" x14ac:dyDescent="0.35"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41"/>
      <c r="CB163" s="41"/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</row>
    <row r="164" spans="20:104" ht="15.75" customHeight="1" x14ac:dyDescent="0.35"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</row>
    <row r="165" spans="20:104" ht="15.75" customHeight="1" x14ac:dyDescent="0.35"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41"/>
      <c r="CB165" s="41"/>
      <c r="CC165" s="41"/>
      <c r="CD165" s="41"/>
      <c r="CE165" s="41"/>
      <c r="CF165" s="41"/>
      <c r="CG165" s="41"/>
      <c r="CH165" s="41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  <c r="CS165" s="41"/>
      <c r="CT165" s="41"/>
      <c r="CU165" s="41"/>
      <c r="CV165" s="41"/>
      <c r="CW165" s="41"/>
      <c r="CX165" s="41"/>
      <c r="CY165" s="41"/>
      <c r="CZ165" s="41"/>
    </row>
    <row r="166" spans="20:104" ht="15.75" customHeight="1" x14ac:dyDescent="0.35"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41"/>
      <c r="CB166" s="41"/>
      <c r="CC166" s="41"/>
      <c r="CD166" s="41"/>
      <c r="CE166" s="41"/>
      <c r="CF166" s="41"/>
      <c r="CG166" s="41"/>
      <c r="CH166" s="41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  <c r="CS166" s="41"/>
      <c r="CT166" s="41"/>
      <c r="CU166" s="41"/>
      <c r="CV166" s="41"/>
      <c r="CW166" s="41"/>
      <c r="CX166" s="41"/>
      <c r="CY166" s="41"/>
      <c r="CZ166" s="41"/>
    </row>
    <row r="167" spans="20:104" ht="15.75" customHeight="1" x14ac:dyDescent="0.35"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41"/>
      <c r="CB167" s="41"/>
      <c r="CC167" s="41"/>
      <c r="CD167" s="41"/>
      <c r="CE167" s="41"/>
      <c r="CF167" s="41"/>
      <c r="CG167" s="41"/>
      <c r="CH167" s="41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  <c r="CS167" s="41"/>
      <c r="CT167" s="41"/>
      <c r="CU167" s="41"/>
      <c r="CV167" s="41"/>
      <c r="CW167" s="41"/>
      <c r="CX167" s="41"/>
      <c r="CY167" s="41"/>
      <c r="CZ167" s="41"/>
    </row>
    <row r="168" spans="20:104" ht="15.75" customHeight="1" x14ac:dyDescent="0.35"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41"/>
      <c r="CB168" s="41"/>
      <c r="CC168" s="41"/>
      <c r="CD168" s="41"/>
      <c r="CE168" s="41"/>
      <c r="CF168" s="41"/>
      <c r="CG168" s="41"/>
      <c r="CH168" s="41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  <c r="CS168" s="41"/>
      <c r="CT168" s="41"/>
      <c r="CU168" s="41"/>
      <c r="CV168" s="41"/>
      <c r="CW168" s="41"/>
      <c r="CX168" s="41"/>
      <c r="CY168" s="41"/>
      <c r="CZ168" s="41"/>
    </row>
    <row r="169" spans="20:104" ht="15.75" customHeight="1" x14ac:dyDescent="0.35"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41"/>
      <c r="CB169" s="41"/>
      <c r="CC169" s="41"/>
      <c r="CD169" s="41"/>
      <c r="CE169" s="41"/>
      <c r="CF169" s="41"/>
      <c r="CG169" s="41"/>
      <c r="CH169" s="41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  <c r="CS169" s="41"/>
      <c r="CT169" s="41"/>
      <c r="CU169" s="41"/>
      <c r="CV169" s="41"/>
      <c r="CW169" s="41"/>
      <c r="CX169" s="41"/>
      <c r="CY169" s="41"/>
      <c r="CZ169" s="41"/>
    </row>
    <row r="170" spans="20:104" ht="15.75" customHeight="1" x14ac:dyDescent="0.35"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41"/>
      <c r="CB170" s="41"/>
      <c r="CC170" s="41"/>
      <c r="CD170" s="41"/>
      <c r="CE170" s="41"/>
      <c r="CF170" s="41"/>
      <c r="CG170" s="41"/>
      <c r="CH170" s="41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  <c r="CS170" s="41"/>
      <c r="CT170" s="41"/>
      <c r="CU170" s="41"/>
      <c r="CV170" s="41"/>
      <c r="CW170" s="41"/>
      <c r="CX170" s="41"/>
      <c r="CY170" s="41"/>
      <c r="CZ170" s="41"/>
    </row>
    <row r="171" spans="20:104" ht="15.75" customHeight="1" x14ac:dyDescent="0.35"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41"/>
      <c r="CB171" s="41"/>
      <c r="CC171" s="41"/>
      <c r="CD171" s="41"/>
      <c r="CE171" s="41"/>
      <c r="CF171" s="41"/>
      <c r="CG171" s="41"/>
      <c r="CH171" s="4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  <c r="CS171" s="41"/>
      <c r="CT171" s="41"/>
      <c r="CU171" s="41"/>
      <c r="CV171" s="41"/>
      <c r="CW171" s="41"/>
      <c r="CX171" s="41"/>
      <c r="CY171" s="41"/>
      <c r="CZ171" s="41"/>
    </row>
    <row r="172" spans="20:104" ht="15.75" customHeight="1" x14ac:dyDescent="0.35"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41"/>
      <c r="CB172" s="41"/>
      <c r="CC172" s="41"/>
      <c r="CD172" s="41"/>
      <c r="CE172" s="41"/>
      <c r="CF172" s="41"/>
      <c r="CG172" s="41"/>
      <c r="CH172" s="41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  <c r="CS172" s="41"/>
      <c r="CT172" s="41"/>
      <c r="CU172" s="41"/>
      <c r="CV172" s="41"/>
      <c r="CW172" s="41"/>
      <c r="CX172" s="41"/>
      <c r="CY172" s="41"/>
      <c r="CZ172" s="41"/>
    </row>
    <row r="173" spans="20:104" ht="15.75" customHeight="1" x14ac:dyDescent="0.35"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41"/>
      <c r="CB173" s="41"/>
      <c r="CC173" s="41"/>
      <c r="CD173" s="41"/>
      <c r="CE173" s="41"/>
      <c r="CF173" s="41"/>
      <c r="CG173" s="41"/>
      <c r="CH173" s="41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  <c r="CS173" s="41"/>
      <c r="CT173" s="41"/>
      <c r="CU173" s="41"/>
      <c r="CV173" s="41"/>
      <c r="CW173" s="41"/>
      <c r="CX173" s="41"/>
      <c r="CY173" s="41"/>
      <c r="CZ173" s="41"/>
    </row>
    <row r="174" spans="20:104" ht="15.75" customHeight="1" x14ac:dyDescent="0.35"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41"/>
      <c r="CB174" s="41"/>
      <c r="CC174" s="41"/>
      <c r="CD174" s="41"/>
      <c r="CE174" s="41"/>
      <c r="CF174" s="41"/>
      <c r="CG174" s="41"/>
      <c r="CH174" s="41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  <c r="CS174" s="41"/>
      <c r="CT174" s="41"/>
      <c r="CU174" s="41"/>
      <c r="CV174" s="41"/>
      <c r="CW174" s="41"/>
      <c r="CX174" s="41"/>
      <c r="CY174" s="41"/>
      <c r="CZ174" s="41"/>
    </row>
    <row r="175" spans="20:104" ht="15.75" customHeight="1" x14ac:dyDescent="0.35"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41"/>
      <c r="CB175" s="41"/>
      <c r="CC175" s="41"/>
      <c r="CD175" s="41"/>
      <c r="CE175" s="41"/>
      <c r="CF175" s="41"/>
      <c r="CG175" s="41"/>
      <c r="CH175" s="41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  <c r="CS175" s="41"/>
      <c r="CT175" s="41"/>
      <c r="CU175" s="41"/>
      <c r="CV175" s="41"/>
      <c r="CW175" s="41"/>
      <c r="CX175" s="41"/>
      <c r="CY175" s="41"/>
      <c r="CZ175" s="41"/>
    </row>
    <row r="176" spans="20:104" ht="15.75" customHeight="1" x14ac:dyDescent="0.35"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41"/>
      <c r="CB176" s="41"/>
      <c r="CC176" s="41"/>
      <c r="CD176" s="41"/>
      <c r="CE176" s="41"/>
      <c r="CF176" s="41"/>
      <c r="CG176" s="41"/>
      <c r="CH176" s="41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  <c r="CS176" s="41"/>
      <c r="CT176" s="41"/>
      <c r="CU176" s="41"/>
      <c r="CV176" s="41"/>
      <c r="CW176" s="41"/>
      <c r="CX176" s="41"/>
      <c r="CY176" s="41"/>
      <c r="CZ176" s="41"/>
    </row>
    <row r="177" spans="20:104" ht="15.75" customHeight="1" x14ac:dyDescent="0.35"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41"/>
      <c r="CB177" s="41"/>
      <c r="CC177" s="41"/>
      <c r="CD177" s="41"/>
      <c r="CE177" s="41"/>
      <c r="CF177" s="41"/>
      <c r="CG177" s="41"/>
      <c r="CH177" s="41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  <c r="CS177" s="41"/>
      <c r="CT177" s="41"/>
      <c r="CU177" s="41"/>
      <c r="CV177" s="41"/>
      <c r="CW177" s="41"/>
      <c r="CX177" s="41"/>
      <c r="CY177" s="41"/>
      <c r="CZ177" s="41"/>
    </row>
    <row r="178" spans="20:104" ht="15.75" customHeight="1" x14ac:dyDescent="0.35"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41"/>
      <c r="CB178" s="41"/>
      <c r="CC178" s="41"/>
      <c r="CD178" s="41"/>
      <c r="CE178" s="41"/>
      <c r="CF178" s="41"/>
      <c r="CG178" s="41"/>
      <c r="CH178" s="41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  <c r="CS178" s="41"/>
      <c r="CT178" s="41"/>
      <c r="CU178" s="41"/>
      <c r="CV178" s="41"/>
      <c r="CW178" s="41"/>
      <c r="CX178" s="41"/>
      <c r="CY178" s="41"/>
      <c r="CZ178" s="41"/>
    </row>
    <row r="179" spans="20:104" ht="15.75" customHeight="1" x14ac:dyDescent="0.35"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41"/>
      <c r="CB179" s="41"/>
      <c r="CC179" s="41"/>
      <c r="CD179" s="41"/>
      <c r="CE179" s="41"/>
      <c r="CF179" s="41"/>
      <c r="CG179" s="41"/>
      <c r="CH179" s="41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  <c r="CS179" s="41"/>
      <c r="CT179" s="41"/>
      <c r="CU179" s="41"/>
      <c r="CV179" s="41"/>
      <c r="CW179" s="41"/>
      <c r="CX179" s="41"/>
      <c r="CY179" s="41"/>
      <c r="CZ179" s="41"/>
    </row>
    <row r="180" spans="20:104" ht="15.75" customHeight="1" x14ac:dyDescent="0.35"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41"/>
      <c r="CB180" s="41"/>
      <c r="CC180" s="41"/>
      <c r="CD180" s="41"/>
      <c r="CE180" s="41"/>
      <c r="CF180" s="41"/>
      <c r="CG180" s="41"/>
      <c r="CH180" s="41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  <c r="CS180" s="41"/>
      <c r="CT180" s="41"/>
      <c r="CU180" s="41"/>
      <c r="CV180" s="41"/>
      <c r="CW180" s="41"/>
      <c r="CX180" s="41"/>
      <c r="CY180" s="41"/>
      <c r="CZ180" s="41"/>
    </row>
    <row r="181" spans="20:104" ht="15.75" customHeight="1" x14ac:dyDescent="0.35"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41"/>
      <c r="CB181" s="41"/>
      <c r="CC181" s="41"/>
      <c r="CD181" s="41"/>
      <c r="CE181" s="41"/>
      <c r="CF181" s="41"/>
      <c r="CG181" s="41"/>
      <c r="CH181" s="4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  <c r="CS181" s="41"/>
      <c r="CT181" s="41"/>
      <c r="CU181" s="41"/>
      <c r="CV181" s="41"/>
      <c r="CW181" s="41"/>
      <c r="CX181" s="41"/>
      <c r="CY181" s="41"/>
      <c r="CZ181" s="41"/>
    </row>
    <row r="182" spans="20:104" ht="15.75" customHeight="1" x14ac:dyDescent="0.35"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41"/>
      <c r="CB182" s="41"/>
      <c r="CC182" s="41"/>
      <c r="CD182" s="41"/>
      <c r="CE182" s="41"/>
      <c r="CF182" s="41"/>
      <c r="CG182" s="41"/>
      <c r="CH182" s="41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  <c r="CS182" s="41"/>
      <c r="CT182" s="41"/>
      <c r="CU182" s="41"/>
      <c r="CV182" s="41"/>
      <c r="CW182" s="41"/>
      <c r="CX182" s="41"/>
      <c r="CY182" s="41"/>
      <c r="CZ182" s="41"/>
    </row>
    <row r="183" spans="20:104" ht="15.75" customHeight="1" x14ac:dyDescent="0.35"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41"/>
      <c r="CB183" s="41"/>
      <c r="CC183" s="41"/>
      <c r="CD183" s="41"/>
      <c r="CE183" s="41"/>
      <c r="CF183" s="41"/>
      <c r="CG183" s="41"/>
      <c r="CH183" s="41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  <c r="CS183" s="41"/>
      <c r="CT183" s="41"/>
      <c r="CU183" s="41"/>
      <c r="CV183" s="41"/>
      <c r="CW183" s="41"/>
      <c r="CX183" s="41"/>
      <c r="CY183" s="41"/>
      <c r="CZ183" s="41"/>
    </row>
    <row r="184" spans="20:104" ht="15.75" customHeight="1" x14ac:dyDescent="0.35"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41"/>
      <c r="CB184" s="41"/>
      <c r="CC184" s="41"/>
      <c r="CD184" s="41"/>
      <c r="CE184" s="41"/>
      <c r="CF184" s="41"/>
      <c r="CG184" s="41"/>
      <c r="CH184" s="41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  <c r="CS184" s="41"/>
      <c r="CT184" s="41"/>
      <c r="CU184" s="41"/>
      <c r="CV184" s="41"/>
      <c r="CW184" s="41"/>
      <c r="CX184" s="41"/>
      <c r="CY184" s="41"/>
      <c r="CZ184" s="41"/>
    </row>
    <row r="185" spans="20:104" ht="15.75" customHeight="1" x14ac:dyDescent="0.35"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41"/>
      <c r="CB185" s="41"/>
      <c r="CC185" s="41"/>
      <c r="CD185" s="41"/>
      <c r="CE185" s="41"/>
      <c r="CF185" s="41"/>
      <c r="CG185" s="41"/>
      <c r="CH185" s="41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  <c r="CS185" s="41"/>
      <c r="CT185" s="41"/>
      <c r="CU185" s="41"/>
      <c r="CV185" s="41"/>
      <c r="CW185" s="41"/>
      <c r="CX185" s="41"/>
      <c r="CY185" s="41"/>
      <c r="CZ185" s="41"/>
    </row>
    <row r="186" spans="20:104" ht="15.75" customHeight="1" x14ac:dyDescent="0.35"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41"/>
      <c r="CB186" s="41"/>
      <c r="CC186" s="41"/>
      <c r="CD186" s="41"/>
      <c r="CE186" s="41"/>
      <c r="CF186" s="41"/>
      <c r="CG186" s="41"/>
      <c r="CH186" s="41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  <c r="CS186" s="41"/>
      <c r="CT186" s="41"/>
      <c r="CU186" s="41"/>
      <c r="CV186" s="41"/>
      <c r="CW186" s="41"/>
      <c r="CX186" s="41"/>
      <c r="CY186" s="41"/>
      <c r="CZ186" s="41"/>
    </row>
    <row r="187" spans="20:104" ht="15.75" customHeight="1" x14ac:dyDescent="0.35"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41"/>
      <c r="CB187" s="41"/>
      <c r="CC187" s="41"/>
      <c r="CD187" s="41"/>
      <c r="CE187" s="41"/>
      <c r="CF187" s="41"/>
      <c r="CG187" s="41"/>
      <c r="CH187" s="41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  <c r="CS187" s="41"/>
      <c r="CT187" s="41"/>
      <c r="CU187" s="41"/>
      <c r="CV187" s="41"/>
      <c r="CW187" s="41"/>
      <c r="CX187" s="41"/>
      <c r="CY187" s="41"/>
      <c r="CZ187" s="41"/>
    </row>
    <row r="188" spans="20:104" ht="15.75" customHeight="1" x14ac:dyDescent="0.35"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41"/>
      <c r="CB188" s="41"/>
      <c r="CC188" s="41"/>
      <c r="CD188" s="41"/>
      <c r="CE188" s="41"/>
      <c r="CF188" s="41"/>
      <c r="CG188" s="41"/>
      <c r="CH188" s="41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  <c r="CS188" s="41"/>
      <c r="CT188" s="41"/>
      <c r="CU188" s="41"/>
      <c r="CV188" s="41"/>
      <c r="CW188" s="41"/>
      <c r="CX188" s="41"/>
      <c r="CY188" s="41"/>
      <c r="CZ188" s="41"/>
    </row>
    <row r="189" spans="20:104" ht="15.75" customHeight="1" x14ac:dyDescent="0.35"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41"/>
      <c r="CB189" s="41"/>
      <c r="CC189" s="41"/>
      <c r="CD189" s="41"/>
      <c r="CE189" s="41"/>
      <c r="CF189" s="41"/>
      <c r="CG189" s="41"/>
      <c r="CH189" s="41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  <c r="CS189" s="41"/>
      <c r="CT189" s="41"/>
      <c r="CU189" s="41"/>
      <c r="CV189" s="41"/>
      <c r="CW189" s="41"/>
      <c r="CX189" s="41"/>
      <c r="CY189" s="41"/>
      <c r="CZ189" s="41"/>
    </row>
    <row r="190" spans="20:104" ht="15.75" customHeight="1" x14ac:dyDescent="0.35"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41"/>
      <c r="CB190" s="41"/>
      <c r="CC190" s="41"/>
      <c r="CD190" s="41"/>
      <c r="CE190" s="41"/>
      <c r="CF190" s="41"/>
      <c r="CG190" s="41"/>
      <c r="CH190" s="41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  <c r="CS190" s="41"/>
      <c r="CT190" s="41"/>
      <c r="CU190" s="41"/>
      <c r="CV190" s="41"/>
      <c r="CW190" s="41"/>
      <c r="CX190" s="41"/>
      <c r="CY190" s="41"/>
      <c r="CZ190" s="41"/>
    </row>
    <row r="191" spans="20:104" ht="15.75" customHeight="1" x14ac:dyDescent="0.35"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41"/>
      <c r="CB191" s="41"/>
      <c r="CC191" s="41"/>
      <c r="CD191" s="41"/>
      <c r="CE191" s="41"/>
      <c r="CF191" s="41"/>
      <c r="CG191" s="41"/>
      <c r="CH191" s="4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  <c r="CS191" s="41"/>
      <c r="CT191" s="41"/>
      <c r="CU191" s="41"/>
      <c r="CV191" s="41"/>
      <c r="CW191" s="41"/>
      <c r="CX191" s="41"/>
      <c r="CY191" s="41"/>
      <c r="CZ191" s="41"/>
    </row>
    <row r="192" spans="20:104" ht="15.75" customHeight="1" x14ac:dyDescent="0.35"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41"/>
      <c r="CB192" s="41"/>
      <c r="CC192" s="41"/>
      <c r="CD192" s="41"/>
      <c r="CE192" s="41"/>
      <c r="CF192" s="41"/>
      <c r="CG192" s="41"/>
      <c r="CH192" s="41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  <c r="CS192" s="41"/>
      <c r="CT192" s="41"/>
      <c r="CU192" s="41"/>
      <c r="CV192" s="41"/>
      <c r="CW192" s="41"/>
      <c r="CX192" s="41"/>
      <c r="CY192" s="41"/>
      <c r="CZ192" s="41"/>
    </row>
    <row r="193" spans="20:104" ht="15.75" customHeight="1" x14ac:dyDescent="0.35"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41"/>
      <c r="CB193" s="41"/>
      <c r="CC193" s="41"/>
      <c r="CD193" s="41"/>
      <c r="CE193" s="41"/>
      <c r="CF193" s="41"/>
      <c r="CG193" s="41"/>
      <c r="CH193" s="41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  <c r="CS193" s="41"/>
      <c r="CT193" s="41"/>
      <c r="CU193" s="41"/>
      <c r="CV193" s="41"/>
      <c r="CW193" s="41"/>
      <c r="CX193" s="41"/>
      <c r="CY193" s="41"/>
      <c r="CZ193" s="41"/>
    </row>
    <row r="194" spans="20:104" ht="15.75" customHeight="1" x14ac:dyDescent="0.35"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41"/>
      <c r="CB194" s="41"/>
      <c r="CC194" s="41"/>
      <c r="CD194" s="41"/>
      <c r="CE194" s="41"/>
      <c r="CF194" s="41"/>
      <c r="CG194" s="41"/>
      <c r="CH194" s="41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  <c r="CS194" s="41"/>
      <c r="CT194" s="41"/>
      <c r="CU194" s="41"/>
      <c r="CV194" s="41"/>
      <c r="CW194" s="41"/>
      <c r="CX194" s="41"/>
      <c r="CY194" s="41"/>
      <c r="CZ194" s="41"/>
    </row>
    <row r="195" spans="20:104" ht="15.75" customHeight="1" x14ac:dyDescent="0.35"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41"/>
      <c r="CB195" s="41"/>
      <c r="CC195" s="41"/>
      <c r="CD195" s="41"/>
      <c r="CE195" s="41"/>
      <c r="CF195" s="41"/>
      <c r="CG195" s="41"/>
      <c r="CH195" s="41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  <c r="CS195" s="41"/>
      <c r="CT195" s="41"/>
      <c r="CU195" s="41"/>
      <c r="CV195" s="41"/>
      <c r="CW195" s="41"/>
      <c r="CX195" s="41"/>
      <c r="CY195" s="41"/>
      <c r="CZ195" s="41"/>
    </row>
    <row r="196" spans="20:104" ht="15.75" customHeight="1" x14ac:dyDescent="0.35"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41"/>
      <c r="CB196" s="41"/>
      <c r="CC196" s="41"/>
      <c r="CD196" s="41"/>
      <c r="CE196" s="41"/>
      <c r="CF196" s="41"/>
      <c r="CG196" s="41"/>
      <c r="CH196" s="41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  <c r="CS196" s="41"/>
      <c r="CT196" s="41"/>
      <c r="CU196" s="41"/>
      <c r="CV196" s="41"/>
      <c r="CW196" s="41"/>
      <c r="CX196" s="41"/>
      <c r="CY196" s="41"/>
      <c r="CZ196" s="41"/>
    </row>
    <row r="197" spans="20:104" ht="15.75" customHeight="1" x14ac:dyDescent="0.35"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41"/>
      <c r="CB197" s="41"/>
      <c r="CC197" s="41"/>
      <c r="CD197" s="41"/>
      <c r="CE197" s="41"/>
      <c r="CF197" s="41"/>
      <c r="CG197" s="41"/>
      <c r="CH197" s="41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  <c r="CS197" s="41"/>
      <c r="CT197" s="41"/>
      <c r="CU197" s="41"/>
      <c r="CV197" s="41"/>
      <c r="CW197" s="41"/>
      <c r="CX197" s="41"/>
      <c r="CY197" s="41"/>
      <c r="CZ197" s="41"/>
    </row>
    <row r="198" spans="20:104" ht="15.75" customHeight="1" x14ac:dyDescent="0.35"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41"/>
      <c r="CB198" s="41"/>
      <c r="CC198" s="41"/>
      <c r="CD198" s="41"/>
      <c r="CE198" s="41"/>
      <c r="CF198" s="41"/>
      <c r="CG198" s="41"/>
      <c r="CH198" s="41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  <c r="CS198" s="41"/>
      <c r="CT198" s="41"/>
      <c r="CU198" s="41"/>
      <c r="CV198" s="41"/>
      <c r="CW198" s="41"/>
      <c r="CX198" s="41"/>
      <c r="CY198" s="41"/>
      <c r="CZ198" s="41"/>
    </row>
    <row r="199" spans="20:104" ht="15.75" customHeight="1" x14ac:dyDescent="0.35"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41"/>
      <c r="CB199" s="41"/>
      <c r="CC199" s="41"/>
      <c r="CD199" s="41"/>
      <c r="CE199" s="41"/>
      <c r="CF199" s="41"/>
      <c r="CG199" s="41"/>
      <c r="CH199" s="41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  <c r="CS199" s="41"/>
      <c r="CT199" s="41"/>
      <c r="CU199" s="41"/>
      <c r="CV199" s="41"/>
      <c r="CW199" s="41"/>
      <c r="CX199" s="41"/>
      <c r="CY199" s="41"/>
      <c r="CZ199" s="41"/>
    </row>
    <row r="200" spans="20:104" ht="15.75" customHeight="1" x14ac:dyDescent="0.35"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41"/>
      <c r="CB200" s="41"/>
      <c r="CC200" s="41"/>
      <c r="CD200" s="41"/>
      <c r="CE200" s="41"/>
      <c r="CF200" s="41"/>
      <c r="CG200" s="41"/>
      <c r="CH200" s="41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  <c r="CS200" s="41"/>
      <c r="CT200" s="41"/>
      <c r="CU200" s="41"/>
      <c r="CV200" s="41"/>
      <c r="CW200" s="41"/>
      <c r="CX200" s="41"/>
      <c r="CY200" s="41"/>
      <c r="CZ200" s="41"/>
    </row>
    <row r="201" spans="20:104" ht="15.75" customHeight="1" x14ac:dyDescent="0.35"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41"/>
      <c r="CB201" s="41"/>
      <c r="CC201" s="41"/>
      <c r="CD201" s="41"/>
      <c r="CE201" s="41"/>
      <c r="CF201" s="41"/>
      <c r="CG201" s="41"/>
      <c r="CH201" s="4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  <c r="CS201" s="41"/>
      <c r="CT201" s="41"/>
      <c r="CU201" s="41"/>
      <c r="CV201" s="41"/>
      <c r="CW201" s="41"/>
      <c r="CX201" s="41"/>
      <c r="CY201" s="41"/>
      <c r="CZ201" s="41"/>
    </row>
    <row r="202" spans="20:104" ht="15.75" customHeight="1" x14ac:dyDescent="0.35"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41"/>
      <c r="CB202" s="41"/>
      <c r="CC202" s="41"/>
      <c r="CD202" s="41"/>
      <c r="CE202" s="41"/>
      <c r="CF202" s="41"/>
      <c r="CG202" s="41"/>
      <c r="CH202" s="41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  <c r="CS202" s="41"/>
      <c r="CT202" s="41"/>
      <c r="CU202" s="41"/>
      <c r="CV202" s="41"/>
      <c r="CW202" s="41"/>
      <c r="CX202" s="41"/>
      <c r="CY202" s="41"/>
      <c r="CZ202" s="41"/>
    </row>
    <row r="203" spans="20:104" ht="15.75" customHeight="1" x14ac:dyDescent="0.35"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41"/>
      <c r="CB203" s="41"/>
      <c r="CC203" s="41"/>
      <c r="CD203" s="41"/>
      <c r="CE203" s="41"/>
      <c r="CF203" s="41"/>
      <c r="CG203" s="41"/>
      <c r="CH203" s="41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  <c r="CS203" s="41"/>
      <c r="CT203" s="41"/>
      <c r="CU203" s="41"/>
      <c r="CV203" s="41"/>
      <c r="CW203" s="41"/>
      <c r="CX203" s="41"/>
      <c r="CY203" s="41"/>
      <c r="CZ203" s="41"/>
    </row>
    <row r="204" spans="20:104" ht="15.75" customHeight="1" x14ac:dyDescent="0.35"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41"/>
      <c r="CB204" s="41"/>
      <c r="CC204" s="41"/>
      <c r="CD204" s="41"/>
      <c r="CE204" s="41"/>
      <c r="CF204" s="41"/>
      <c r="CG204" s="41"/>
      <c r="CH204" s="41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  <c r="CS204" s="41"/>
      <c r="CT204" s="41"/>
      <c r="CU204" s="41"/>
      <c r="CV204" s="41"/>
      <c r="CW204" s="41"/>
      <c r="CX204" s="41"/>
      <c r="CY204" s="41"/>
      <c r="CZ204" s="41"/>
    </row>
    <row r="205" spans="20:104" ht="15.75" customHeight="1" x14ac:dyDescent="0.35"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41"/>
      <c r="CB205" s="41"/>
      <c r="CC205" s="41"/>
      <c r="CD205" s="41"/>
      <c r="CE205" s="41"/>
      <c r="CF205" s="41"/>
      <c r="CG205" s="41"/>
      <c r="CH205" s="41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  <c r="CS205" s="41"/>
      <c r="CT205" s="41"/>
      <c r="CU205" s="41"/>
      <c r="CV205" s="41"/>
      <c r="CW205" s="41"/>
      <c r="CX205" s="41"/>
      <c r="CY205" s="41"/>
      <c r="CZ205" s="41"/>
    </row>
    <row r="206" spans="20:104" ht="15.75" customHeight="1" x14ac:dyDescent="0.35"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41"/>
      <c r="CB206" s="41"/>
      <c r="CC206" s="41"/>
      <c r="CD206" s="41"/>
      <c r="CE206" s="41"/>
      <c r="CF206" s="41"/>
      <c r="CG206" s="41"/>
      <c r="CH206" s="41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  <c r="CS206" s="41"/>
      <c r="CT206" s="41"/>
      <c r="CU206" s="41"/>
      <c r="CV206" s="41"/>
      <c r="CW206" s="41"/>
      <c r="CX206" s="41"/>
      <c r="CY206" s="41"/>
      <c r="CZ206" s="41"/>
    </row>
    <row r="207" spans="20:104" ht="15.75" customHeight="1" x14ac:dyDescent="0.35"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41"/>
      <c r="CB207" s="41"/>
      <c r="CC207" s="41"/>
      <c r="CD207" s="41"/>
      <c r="CE207" s="41"/>
      <c r="CF207" s="41"/>
      <c r="CG207" s="41"/>
      <c r="CH207" s="41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  <c r="CS207" s="41"/>
      <c r="CT207" s="41"/>
      <c r="CU207" s="41"/>
      <c r="CV207" s="41"/>
      <c r="CW207" s="41"/>
      <c r="CX207" s="41"/>
      <c r="CY207" s="41"/>
      <c r="CZ207" s="41"/>
    </row>
    <row r="208" spans="20:104" ht="15.75" customHeight="1" x14ac:dyDescent="0.35"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41"/>
      <c r="CB208" s="41"/>
      <c r="CC208" s="41"/>
      <c r="CD208" s="41"/>
      <c r="CE208" s="41"/>
      <c r="CF208" s="41"/>
      <c r="CG208" s="41"/>
      <c r="CH208" s="41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  <c r="CS208" s="41"/>
      <c r="CT208" s="41"/>
      <c r="CU208" s="41"/>
      <c r="CV208" s="41"/>
      <c r="CW208" s="41"/>
      <c r="CX208" s="41"/>
      <c r="CY208" s="41"/>
      <c r="CZ208" s="41"/>
    </row>
    <row r="209" spans="20:104" ht="15.75" customHeight="1" x14ac:dyDescent="0.35"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41"/>
      <c r="CB209" s="41"/>
      <c r="CC209" s="41"/>
      <c r="CD209" s="41"/>
      <c r="CE209" s="41"/>
      <c r="CF209" s="41"/>
      <c r="CG209" s="41"/>
      <c r="CH209" s="41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  <c r="CS209" s="41"/>
      <c r="CT209" s="41"/>
      <c r="CU209" s="41"/>
      <c r="CV209" s="41"/>
      <c r="CW209" s="41"/>
      <c r="CX209" s="41"/>
      <c r="CY209" s="41"/>
      <c r="CZ209" s="41"/>
    </row>
    <row r="210" spans="20:104" ht="15.75" customHeight="1" x14ac:dyDescent="0.35"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</row>
    <row r="211" spans="20:104" ht="15.75" customHeight="1" x14ac:dyDescent="0.35"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41"/>
      <c r="CB211" s="41"/>
      <c r="CC211" s="41"/>
      <c r="CD211" s="41"/>
      <c r="CE211" s="41"/>
      <c r="CF211" s="41"/>
      <c r="CG211" s="41"/>
      <c r="CH211" s="4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  <c r="CS211" s="41"/>
      <c r="CT211" s="41"/>
      <c r="CU211" s="41"/>
      <c r="CV211" s="41"/>
      <c r="CW211" s="41"/>
      <c r="CX211" s="41"/>
      <c r="CY211" s="41"/>
      <c r="CZ211" s="41"/>
    </row>
    <row r="212" spans="20:104" ht="15.75" customHeight="1" x14ac:dyDescent="0.35"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</row>
    <row r="213" spans="20:104" ht="15.75" customHeight="1" x14ac:dyDescent="0.35"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41"/>
      <c r="CB213" s="41"/>
      <c r="CC213" s="41"/>
      <c r="CD213" s="41"/>
      <c r="CE213" s="41"/>
      <c r="CF213" s="41"/>
      <c r="CG213" s="41"/>
      <c r="CH213" s="41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  <c r="CS213" s="41"/>
      <c r="CT213" s="41"/>
      <c r="CU213" s="41"/>
      <c r="CV213" s="41"/>
      <c r="CW213" s="41"/>
      <c r="CX213" s="41"/>
      <c r="CY213" s="41"/>
      <c r="CZ213" s="41"/>
    </row>
    <row r="214" spans="20:104" ht="15.75" customHeight="1" x14ac:dyDescent="0.35"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41"/>
      <c r="CB214" s="41"/>
      <c r="CC214" s="41"/>
      <c r="CD214" s="41"/>
      <c r="CE214" s="41"/>
      <c r="CF214" s="41"/>
      <c r="CG214" s="41"/>
      <c r="CH214" s="41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  <c r="CS214" s="41"/>
      <c r="CT214" s="41"/>
      <c r="CU214" s="41"/>
      <c r="CV214" s="41"/>
      <c r="CW214" s="41"/>
      <c r="CX214" s="41"/>
      <c r="CY214" s="41"/>
      <c r="CZ214" s="41"/>
    </row>
    <row r="215" spans="20:104" ht="15.75" customHeight="1" x14ac:dyDescent="0.35"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41"/>
      <c r="CB215" s="41"/>
      <c r="CC215" s="41"/>
      <c r="CD215" s="41"/>
      <c r="CE215" s="41"/>
      <c r="CF215" s="41"/>
      <c r="CG215" s="41"/>
      <c r="CH215" s="41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  <c r="CS215" s="41"/>
      <c r="CT215" s="41"/>
      <c r="CU215" s="41"/>
      <c r="CV215" s="41"/>
      <c r="CW215" s="41"/>
      <c r="CX215" s="41"/>
      <c r="CY215" s="41"/>
      <c r="CZ215" s="41"/>
    </row>
    <row r="216" spans="20:104" ht="15.75" customHeight="1" x14ac:dyDescent="0.35"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41"/>
      <c r="CB216" s="41"/>
      <c r="CC216" s="41"/>
      <c r="CD216" s="41"/>
      <c r="CE216" s="41"/>
      <c r="CF216" s="41"/>
      <c r="CG216" s="41"/>
      <c r="CH216" s="41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  <c r="CS216" s="41"/>
      <c r="CT216" s="41"/>
      <c r="CU216" s="41"/>
      <c r="CV216" s="41"/>
      <c r="CW216" s="41"/>
      <c r="CX216" s="41"/>
      <c r="CY216" s="41"/>
      <c r="CZ216" s="41"/>
    </row>
    <row r="217" spans="20:104" ht="15.75" customHeight="1" x14ac:dyDescent="0.35"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41"/>
      <c r="CB217" s="41"/>
      <c r="CC217" s="41"/>
      <c r="CD217" s="41"/>
      <c r="CE217" s="41"/>
      <c r="CF217" s="41"/>
      <c r="CG217" s="41"/>
      <c r="CH217" s="41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  <c r="CS217" s="41"/>
      <c r="CT217" s="41"/>
      <c r="CU217" s="41"/>
      <c r="CV217" s="41"/>
      <c r="CW217" s="41"/>
      <c r="CX217" s="41"/>
      <c r="CY217" s="41"/>
      <c r="CZ217" s="41"/>
    </row>
    <row r="218" spans="20:104" ht="15.75" customHeight="1" x14ac:dyDescent="0.35"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41"/>
      <c r="CB218" s="41"/>
      <c r="CC218" s="41"/>
      <c r="CD218" s="41"/>
      <c r="CE218" s="41"/>
      <c r="CF218" s="41"/>
      <c r="CG218" s="41"/>
      <c r="CH218" s="41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  <c r="CS218" s="41"/>
      <c r="CT218" s="41"/>
      <c r="CU218" s="41"/>
      <c r="CV218" s="41"/>
      <c r="CW218" s="41"/>
      <c r="CX218" s="41"/>
      <c r="CY218" s="41"/>
      <c r="CZ218" s="41"/>
    </row>
    <row r="219" spans="20:104" ht="15.75" customHeight="1" x14ac:dyDescent="0.35"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41"/>
      <c r="CB219" s="41"/>
      <c r="CC219" s="41"/>
      <c r="CD219" s="41"/>
      <c r="CE219" s="41"/>
      <c r="CF219" s="41"/>
      <c r="CG219" s="41"/>
      <c r="CH219" s="41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  <c r="CS219" s="41"/>
      <c r="CT219" s="41"/>
      <c r="CU219" s="41"/>
      <c r="CV219" s="41"/>
      <c r="CW219" s="41"/>
      <c r="CX219" s="41"/>
      <c r="CY219" s="41"/>
      <c r="CZ219" s="41"/>
    </row>
    <row r="220" spans="20:104" ht="15.75" customHeight="1" x14ac:dyDescent="0.35"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41"/>
      <c r="CB220" s="41"/>
      <c r="CC220" s="41"/>
      <c r="CD220" s="41"/>
      <c r="CE220" s="41"/>
      <c r="CF220" s="41"/>
      <c r="CG220" s="41"/>
      <c r="CH220" s="41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  <c r="CS220" s="41"/>
      <c r="CT220" s="41"/>
      <c r="CU220" s="41"/>
      <c r="CV220" s="41"/>
      <c r="CW220" s="41"/>
      <c r="CX220" s="41"/>
      <c r="CY220" s="41"/>
      <c r="CZ220" s="41"/>
    </row>
    <row r="221" spans="20:104" ht="15.75" customHeight="1" x14ac:dyDescent="0.35"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41"/>
      <c r="CB221" s="41"/>
      <c r="CC221" s="41"/>
      <c r="CD221" s="41"/>
      <c r="CE221" s="41"/>
      <c r="CF221" s="41"/>
      <c r="CG221" s="41"/>
      <c r="CH221" s="4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  <c r="CS221" s="41"/>
      <c r="CT221" s="41"/>
      <c r="CU221" s="41"/>
      <c r="CV221" s="41"/>
      <c r="CW221" s="41"/>
      <c r="CX221" s="41"/>
      <c r="CY221" s="41"/>
      <c r="CZ221" s="41"/>
    </row>
    <row r="222" spans="20:104" ht="15.75" customHeight="1" x14ac:dyDescent="0.35"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41"/>
      <c r="CB222" s="41"/>
      <c r="CC222" s="41"/>
      <c r="CD222" s="41"/>
      <c r="CE222" s="41"/>
      <c r="CF222" s="41"/>
      <c r="CG222" s="41"/>
      <c r="CH222" s="41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  <c r="CS222" s="41"/>
      <c r="CT222" s="41"/>
      <c r="CU222" s="41"/>
      <c r="CV222" s="41"/>
      <c r="CW222" s="41"/>
      <c r="CX222" s="41"/>
      <c r="CY222" s="41"/>
      <c r="CZ222" s="41"/>
    </row>
    <row r="223" spans="20:104" ht="15.75" customHeight="1" x14ac:dyDescent="0.35"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41"/>
      <c r="CB223" s="41"/>
      <c r="CC223" s="41"/>
      <c r="CD223" s="41"/>
      <c r="CE223" s="41"/>
      <c r="CF223" s="41"/>
      <c r="CG223" s="41"/>
      <c r="CH223" s="41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  <c r="CS223" s="41"/>
      <c r="CT223" s="41"/>
      <c r="CU223" s="41"/>
      <c r="CV223" s="41"/>
      <c r="CW223" s="41"/>
      <c r="CX223" s="41"/>
      <c r="CY223" s="41"/>
      <c r="CZ223" s="41"/>
    </row>
    <row r="224" spans="20:104" ht="15.75" customHeight="1" x14ac:dyDescent="0.35"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41"/>
      <c r="CB224" s="41"/>
      <c r="CC224" s="41"/>
      <c r="CD224" s="41"/>
      <c r="CE224" s="41"/>
      <c r="CF224" s="41"/>
      <c r="CG224" s="41"/>
      <c r="CH224" s="41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  <c r="CS224" s="41"/>
      <c r="CT224" s="41"/>
      <c r="CU224" s="41"/>
      <c r="CV224" s="41"/>
      <c r="CW224" s="41"/>
      <c r="CX224" s="41"/>
      <c r="CY224" s="41"/>
      <c r="CZ224" s="41"/>
    </row>
    <row r="225" spans="20:104" ht="15.75" customHeight="1" x14ac:dyDescent="0.35"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41"/>
      <c r="CB225" s="41"/>
      <c r="CC225" s="41"/>
      <c r="CD225" s="41"/>
      <c r="CE225" s="41"/>
      <c r="CF225" s="41"/>
      <c r="CG225" s="41"/>
      <c r="CH225" s="41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  <c r="CS225" s="41"/>
      <c r="CT225" s="41"/>
      <c r="CU225" s="41"/>
      <c r="CV225" s="41"/>
      <c r="CW225" s="41"/>
      <c r="CX225" s="41"/>
      <c r="CY225" s="41"/>
      <c r="CZ225" s="41"/>
    </row>
    <row r="226" spans="20:104" ht="15.75" customHeight="1" x14ac:dyDescent="0.35"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41"/>
      <c r="CB226" s="41"/>
      <c r="CC226" s="41"/>
      <c r="CD226" s="41"/>
      <c r="CE226" s="41"/>
      <c r="CF226" s="41"/>
      <c r="CG226" s="41"/>
      <c r="CH226" s="41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  <c r="CS226" s="41"/>
      <c r="CT226" s="41"/>
      <c r="CU226" s="41"/>
      <c r="CV226" s="41"/>
      <c r="CW226" s="41"/>
      <c r="CX226" s="41"/>
      <c r="CY226" s="41"/>
      <c r="CZ226" s="41"/>
    </row>
    <row r="227" spans="20:104" ht="15.75" customHeight="1" x14ac:dyDescent="0.35"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41"/>
      <c r="CB227" s="41"/>
      <c r="CC227" s="41"/>
      <c r="CD227" s="41"/>
      <c r="CE227" s="41"/>
      <c r="CF227" s="41"/>
      <c r="CG227" s="41"/>
      <c r="CH227" s="41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  <c r="CS227" s="41"/>
      <c r="CT227" s="41"/>
      <c r="CU227" s="41"/>
      <c r="CV227" s="41"/>
      <c r="CW227" s="41"/>
      <c r="CX227" s="41"/>
      <c r="CY227" s="41"/>
      <c r="CZ227" s="41"/>
    </row>
    <row r="228" spans="20:104" ht="15.75" customHeight="1" x14ac:dyDescent="0.35"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41"/>
      <c r="CB228" s="41"/>
      <c r="CC228" s="41"/>
      <c r="CD228" s="41"/>
      <c r="CE228" s="41"/>
      <c r="CF228" s="41"/>
      <c r="CG228" s="41"/>
      <c r="CH228" s="41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  <c r="CS228" s="41"/>
      <c r="CT228" s="41"/>
      <c r="CU228" s="41"/>
      <c r="CV228" s="41"/>
      <c r="CW228" s="41"/>
      <c r="CX228" s="41"/>
      <c r="CY228" s="41"/>
      <c r="CZ228" s="41"/>
    </row>
    <row r="229" spans="20:104" ht="15.75" customHeight="1" x14ac:dyDescent="0.35"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41"/>
      <c r="CB229" s="41"/>
      <c r="CC229" s="41"/>
      <c r="CD229" s="41"/>
      <c r="CE229" s="41"/>
      <c r="CF229" s="41"/>
      <c r="CG229" s="41"/>
      <c r="CH229" s="41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  <c r="CS229" s="41"/>
      <c r="CT229" s="41"/>
      <c r="CU229" s="41"/>
      <c r="CV229" s="41"/>
      <c r="CW229" s="41"/>
      <c r="CX229" s="41"/>
      <c r="CY229" s="41"/>
      <c r="CZ229" s="41"/>
    </row>
    <row r="230" spans="20:104" ht="15.75" customHeight="1" x14ac:dyDescent="0.35"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41"/>
      <c r="CB230" s="41"/>
      <c r="CC230" s="41"/>
      <c r="CD230" s="41"/>
      <c r="CE230" s="41"/>
      <c r="CF230" s="41"/>
      <c r="CG230" s="41"/>
      <c r="CH230" s="41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  <c r="CS230" s="41"/>
      <c r="CT230" s="41"/>
      <c r="CU230" s="41"/>
      <c r="CV230" s="41"/>
      <c r="CW230" s="41"/>
      <c r="CX230" s="41"/>
      <c r="CY230" s="41"/>
      <c r="CZ230" s="41"/>
    </row>
    <row r="231" spans="20:104" ht="15.75" customHeight="1" x14ac:dyDescent="0.35"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41"/>
      <c r="CB231" s="41"/>
      <c r="CC231" s="41"/>
      <c r="CD231" s="41"/>
      <c r="CE231" s="41"/>
      <c r="CF231" s="41"/>
      <c r="CG231" s="41"/>
      <c r="CH231" s="4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  <c r="CS231" s="41"/>
      <c r="CT231" s="41"/>
      <c r="CU231" s="41"/>
      <c r="CV231" s="41"/>
      <c r="CW231" s="41"/>
      <c r="CX231" s="41"/>
      <c r="CY231" s="41"/>
      <c r="CZ231" s="41"/>
    </row>
    <row r="232" spans="20:104" ht="15.75" customHeight="1" x14ac:dyDescent="0.35"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41"/>
      <c r="CB232" s="41"/>
      <c r="CC232" s="41"/>
      <c r="CD232" s="41"/>
      <c r="CE232" s="41"/>
      <c r="CF232" s="41"/>
      <c r="CG232" s="41"/>
      <c r="CH232" s="41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  <c r="CS232" s="41"/>
      <c r="CT232" s="41"/>
      <c r="CU232" s="41"/>
      <c r="CV232" s="41"/>
      <c r="CW232" s="41"/>
      <c r="CX232" s="41"/>
      <c r="CY232" s="41"/>
      <c r="CZ232" s="41"/>
    </row>
    <row r="233" spans="20:104" ht="15.75" customHeight="1" x14ac:dyDescent="0.35"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41"/>
      <c r="CB233" s="41"/>
      <c r="CC233" s="41"/>
      <c r="CD233" s="41"/>
      <c r="CE233" s="41"/>
      <c r="CF233" s="41"/>
      <c r="CG233" s="41"/>
      <c r="CH233" s="41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  <c r="CS233" s="41"/>
      <c r="CT233" s="41"/>
      <c r="CU233" s="41"/>
      <c r="CV233" s="41"/>
      <c r="CW233" s="41"/>
      <c r="CX233" s="41"/>
      <c r="CY233" s="41"/>
      <c r="CZ233" s="41"/>
    </row>
    <row r="234" spans="20:104" ht="15.75" customHeight="1" x14ac:dyDescent="0.35"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41"/>
      <c r="CB234" s="41"/>
      <c r="CC234" s="41"/>
      <c r="CD234" s="41"/>
      <c r="CE234" s="41"/>
      <c r="CF234" s="41"/>
      <c r="CG234" s="41"/>
      <c r="CH234" s="41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  <c r="CS234" s="41"/>
      <c r="CT234" s="41"/>
      <c r="CU234" s="41"/>
      <c r="CV234" s="41"/>
      <c r="CW234" s="41"/>
      <c r="CX234" s="41"/>
      <c r="CY234" s="41"/>
      <c r="CZ234" s="41"/>
    </row>
    <row r="235" spans="20:104" ht="15.75" customHeight="1" x14ac:dyDescent="0.35"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41"/>
      <c r="CB235" s="41"/>
      <c r="CC235" s="41"/>
      <c r="CD235" s="41"/>
      <c r="CE235" s="41"/>
      <c r="CF235" s="41"/>
      <c r="CG235" s="41"/>
      <c r="CH235" s="41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  <c r="CS235" s="41"/>
      <c r="CT235" s="41"/>
      <c r="CU235" s="41"/>
      <c r="CV235" s="41"/>
      <c r="CW235" s="41"/>
      <c r="CX235" s="41"/>
      <c r="CY235" s="41"/>
      <c r="CZ235" s="41"/>
    </row>
    <row r="236" spans="20:104" ht="15.75" customHeight="1" x14ac:dyDescent="0.35"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41"/>
      <c r="CB236" s="41"/>
      <c r="CC236" s="41"/>
      <c r="CD236" s="41"/>
      <c r="CE236" s="41"/>
      <c r="CF236" s="41"/>
      <c r="CG236" s="41"/>
      <c r="CH236" s="41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  <c r="CS236" s="41"/>
      <c r="CT236" s="41"/>
      <c r="CU236" s="41"/>
      <c r="CV236" s="41"/>
      <c r="CW236" s="41"/>
      <c r="CX236" s="41"/>
      <c r="CY236" s="41"/>
      <c r="CZ236" s="41"/>
    </row>
    <row r="237" spans="20:104" ht="15.75" customHeight="1" x14ac:dyDescent="0.35"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41"/>
      <c r="CB237" s="41"/>
      <c r="CC237" s="41"/>
      <c r="CD237" s="41"/>
      <c r="CE237" s="41"/>
      <c r="CF237" s="41"/>
      <c r="CG237" s="41"/>
      <c r="CH237" s="41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  <c r="CS237" s="41"/>
      <c r="CT237" s="41"/>
      <c r="CU237" s="41"/>
      <c r="CV237" s="41"/>
      <c r="CW237" s="41"/>
      <c r="CX237" s="41"/>
      <c r="CY237" s="41"/>
      <c r="CZ237" s="41"/>
    </row>
    <row r="238" spans="20:104" ht="15.75" customHeight="1" x14ac:dyDescent="0.35"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41"/>
      <c r="CB238" s="41"/>
      <c r="CC238" s="41"/>
      <c r="CD238" s="41"/>
      <c r="CE238" s="41"/>
      <c r="CF238" s="41"/>
      <c r="CG238" s="41"/>
      <c r="CH238" s="41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  <c r="CS238" s="41"/>
      <c r="CT238" s="41"/>
      <c r="CU238" s="41"/>
      <c r="CV238" s="41"/>
      <c r="CW238" s="41"/>
      <c r="CX238" s="41"/>
      <c r="CY238" s="41"/>
      <c r="CZ238" s="41"/>
    </row>
    <row r="239" spans="20:104" ht="15.75" customHeight="1" x14ac:dyDescent="0.35"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41"/>
      <c r="CB239" s="41"/>
      <c r="CC239" s="41"/>
      <c r="CD239" s="41"/>
      <c r="CE239" s="41"/>
      <c r="CF239" s="41"/>
      <c r="CG239" s="41"/>
      <c r="CH239" s="41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  <c r="CS239" s="41"/>
      <c r="CT239" s="41"/>
      <c r="CU239" s="41"/>
      <c r="CV239" s="41"/>
      <c r="CW239" s="41"/>
      <c r="CX239" s="41"/>
      <c r="CY239" s="41"/>
      <c r="CZ239" s="41"/>
    </row>
    <row r="240" spans="20:104" ht="15.75" customHeight="1" x14ac:dyDescent="0.35"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41"/>
      <c r="CB240" s="41"/>
      <c r="CC240" s="41"/>
      <c r="CD240" s="41"/>
      <c r="CE240" s="41"/>
      <c r="CF240" s="41"/>
      <c r="CG240" s="41"/>
      <c r="CH240" s="41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  <c r="CS240" s="41"/>
      <c r="CT240" s="41"/>
      <c r="CU240" s="41"/>
      <c r="CV240" s="41"/>
      <c r="CW240" s="41"/>
      <c r="CX240" s="41"/>
      <c r="CY240" s="41"/>
      <c r="CZ240" s="41"/>
    </row>
    <row r="241" spans="20:104" ht="15.75" customHeight="1" x14ac:dyDescent="0.35"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41"/>
      <c r="CB241" s="41"/>
      <c r="CC241" s="41"/>
      <c r="CD241" s="41"/>
      <c r="CE241" s="41"/>
      <c r="CF241" s="41"/>
      <c r="CG241" s="41"/>
      <c r="CH241" s="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  <c r="CS241" s="41"/>
      <c r="CT241" s="41"/>
      <c r="CU241" s="41"/>
      <c r="CV241" s="41"/>
      <c r="CW241" s="41"/>
      <c r="CX241" s="41"/>
      <c r="CY241" s="41"/>
      <c r="CZ241" s="41"/>
    </row>
    <row r="242" spans="20:104" ht="15.75" customHeight="1" x14ac:dyDescent="0.35"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41"/>
      <c r="CB242" s="41"/>
      <c r="CC242" s="41"/>
      <c r="CD242" s="41"/>
      <c r="CE242" s="41"/>
      <c r="CF242" s="41"/>
      <c r="CG242" s="41"/>
      <c r="CH242" s="41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  <c r="CS242" s="41"/>
      <c r="CT242" s="41"/>
      <c r="CU242" s="41"/>
      <c r="CV242" s="41"/>
      <c r="CW242" s="41"/>
      <c r="CX242" s="41"/>
      <c r="CY242" s="41"/>
      <c r="CZ242" s="41"/>
    </row>
    <row r="243" spans="20:104" ht="15.75" customHeight="1" x14ac:dyDescent="0.35"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41"/>
      <c r="CB243" s="41"/>
      <c r="CC243" s="41"/>
      <c r="CD243" s="41"/>
      <c r="CE243" s="41"/>
      <c r="CF243" s="41"/>
      <c r="CG243" s="41"/>
      <c r="CH243" s="41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  <c r="CS243" s="41"/>
      <c r="CT243" s="41"/>
      <c r="CU243" s="41"/>
      <c r="CV243" s="41"/>
      <c r="CW243" s="41"/>
      <c r="CX243" s="41"/>
      <c r="CY243" s="41"/>
      <c r="CZ243" s="41"/>
    </row>
    <row r="244" spans="20:104" ht="15.75" customHeight="1" x14ac:dyDescent="0.35"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41"/>
      <c r="CB244" s="41"/>
      <c r="CC244" s="41"/>
      <c r="CD244" s="41"/>
      <c r="CE244" s="41"/>
      <c r="CF244" s="41"/>
      <c r="CG244" s="41"/>
      <c r="CH244" s="41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  <c r="CS244" s="41"/>
      <c r="CT244" s="41"/>
      <c r="CU244" s="41"/>
      <c r="CV244" s="41"/>
      <c r="CW244" s="41"/>
      <c r="CX244" s="41"/>
      <c r="CY244" s="41"/>
      <c r="CZ244" s="41"/>
    </row>
    <row r="245" spans="20:104" ht="15.75" customHeight="1" x14ac:dyDescent="0.35"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41"/>
      <c r="CB245" s="41"/>
      <c r="CC245" s="41"/>
      <c r="CD245" s="41"/>
      <c r="CE245" s="41"/>
      <c r="CF245" s="41"/>
      <c r="CG245" s="41"/>
      <c r="CH245" s="41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  <c r="CS245" s="41"/>
      <c r="CT245" s="41"/>
      <c r="CU245" s="41"/>
      <c r="CV245" s="41"/>
      <c r="CW245" s="41"/>
      <c r="CX245" s="41"/>
      <c r="CY245" s="41"/>
      <c r="CZ245" s="41"/>
    </row>
    <row r="246" spans="20:104" ht="15.75" customHeight="1" x14ac:dyDescent="0.35"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41"/>
      <c r="CB246" s="41"/>
      <c r="CC246" s="41"/>
      <c r="CD246" s="41"/>
      <c r="CE246" s="41"/>
      <c r="CF246" s="41"/>
      <c r="CG246" s="41"/>
      <c r="CH246" s="41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  <c r="CS246" s="41"/>
      <c r="CT246" s="41"/>
      <c r="CU246" s="41"/>
      <c r="CV246" s="41"/>
      <c r="CW246" s="41"/>
      <c r="CX246" s="41"/>
      <c r="CY246" s="41"/>
      <c r="CZ246" s="41"/>
    </row>
    <row r="247" spans="20:104" ht="15.75" customHeight="1" x14ac:dyDescent="0.35"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41"/>
      <c r="CB247" s="41"/>
      <c r="CC247" s="41"/>
      <c r="CD247" s="41"/>
      <c r="CE247" s="41"/>
      <c r="CF247" s="41"/>
      <c r="CG247" s="41"/>
      <c r="CH247" s="41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  <c r="CS247" s="41"/>
      <c r="CT247" s="41"/>
      <c r="CU247" s="41"/>
      <c r="CV247" s="41"/>
      <c r="CW247" s="41"/>
      <c r="CX247" s="41"/>
      <c r="CY247" s="41"/>
      <c r="CZ247" s="41"/>
    </row>
    <row r="248" spans="20:104" ht="15.75" customHeight="1" x14ac:dyDescent="0.35"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41"/>
      <c r="CB248" s="41"/>
      <c r="CC248" s="41"/>
      <c r="CD248" s="41"/>
      <c r="CE248" s="41"/>
      <c r="CF248" s="41"/>
      <c r="CG248" s="41"/>
      <c r="CH248" s="41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  <c r="CS248" s="41"/>
      <c r="CT248" s="41"/>
      <c r="CU248" s="41"/>
      <c r="CV248" s="41"/>
      <c r="CW248" s="41"/>
      <c r="CX248" s="41"/>
      <c r="CY248" s="41"/>
      <c r="CZ248" s="41"/>
    </row>
    <row r="249" spans="20:104" ht="15.75" customHeight="1" x14ac:dyDescent="0.35"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41"/>
      <c r="CB249" s="41"/>
      <c r="CC249" s="41"/>
      <c r="CD249" s="41"/>
      <c r="CE249" s="41"/>
      <c r="CF249" s="41"/>
      <c r="CG249" s="41"/>
      <c r="CH249" s="41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  <c r="CS249" s="41"/>
      <c r="CT249" s="41"/>
      <c r="CU249" s="41"/>
      <c r="CV249" s="41"/>
      <c r="CW249" s="41"/>
      <c r="CX249" s="41"/>
      <c r="CY249" s="41"/>
      <c r="CZ249" s="41"/>
    </row>
    <row r="250" spans="20:104" ht="15.75" customHeight="1" x14ac:dyDescent="0.35"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41"/>
      <c r="CB250" s="41"/>
      <c r="CC250" s="41"/>
      <c r="CD250" s="41"/>
      <c r="CE250" s="41"/>
      <c r="CF250" s="41"/>
      <c r="CG250" s="41"/>
      <c r="CH250" s="41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  <c r="CS250" s="41"/>
      <c r="CT250" s="41"/>
      <c r="CU250" s="41"/>
      <c r="CV250" s="41"/>
      <c r="CW250" s="41"/>
      <c r="CX250" s="41"/>
      <c r="CY250" s="41"/>
      <c r="CZ250" s="41"/>
    </row>
    <row r="251" spans="20:104" ht="15.75" customHeight="1" x14ac:dyDescent="0.35"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41"/>
      <c r="CB251" s="41"/>
      <c r="CC251" s="41"/>
      <c r="CD251" s="41"/>
      <c r="CE251" s="41"/>
      <c r="CF251" s="41"/>
      <c r="CG251" s="41"/>
      <c r="CH251" s="4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  <c r="CS251" s="41"/>
      <c r="CT251" s="41"/>
      <c r="CU251" s="41"/>
      <c r="CV251" s="41"/>
      <c r="CW251" s="41"/>
      <c r="CX251" s="41"/>
      <c r="CY251" s="41"/>
      <c r="CZ251" s="41"/>
    </row>
    <row r="252" spans="20:104" ht="15.75" customHeight="1" x14ac:dyDescent="0.35"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41"/>
      <c r="CB252" s="41"/>
      <c r="CC252" s="41"/>
      <c r="CD252" s="41"/>
      <c r="CE252" s="41"/>
      <c r="CF252" s="41"/>
      <c r="CG252" s="41"/>
      <c r="CH252" s="41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  <c r="CS252" s="41"/>
      <c r="CT252" s="41"/>
      <c r="CU252" s="41"/>
      <c r="CV252" s="41"/>
      <c r="CW252" s="41"/>
      <c r="CX252" s="41"/>
      <c r="CY252" s="41"/>
      <c r="CZ252" s="41"/>
    </row>
    <row r="253" spans="20:104" ht="15.75" customHeight="1" x14ac:dyDescent="0.35"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41"/>
      <c r="CB253" s="41"/>
      <c r="CC253" s="41"/>
      <c r="CD253" s="41"/>
      <c r="CE253" s="41"/>
      <c r="CF253" s="41"/>
      <c r="CG253" s="41"/>
      <c r="CH253" s="41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  <c r="CS253" s="41"/>
      <c r="CT253" s="41"/>
      <c r="CU253" s="41"/>
      <c r="CV253" s="41"/>
      <c r="CW253" s="41"/>
      <c r="CX253" s="41"/>
      <c r="CY253" s="41"/>
      <c r="CZ253" s="41"/>
    </row>
    <row r="254" spans="20:104" ht="15.75" customHeight="1" x14ac:dyDescent="0.35"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41"/>
      <c r="CB254" s="41"/>
      <c r="CC254" s="41"/>
      <c r="CD254" s="41"/>
      <c r="CE254" s="41"/>
      <c r="CF254" s="41"/>
      <c r="CG254" s="41"/>
      <c r="CH254" s="41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  <c r="CS254" s="41"/>
      <c r="CT254" s="41"/>
      <c r="CU254" s="41"/>
      <c r="CV254" s="41"/>
      <c r="CW254" s="41"/>
      <c r="CX254" s="41"/>
      <c r="CY254" s="41"/>
      <c r="CZ254" s="41"/>
    </row>
    <row r="255" spans="20:104" ht="15.75" customHeight="1" x14ac:dyDescent="0.35"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41"/>
      <c r="CB255" s="41"/>
      <c r="CC255" s="41"/>
      <c r="CD255" s="41"/>
      <c r="CE255" s="41"/>
      <c r="CF255" s="41"/>
      <c r="CG255" s="41"/>
      <c r="CH255" s="41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  <c r="CS255" s="41"/>
      <c r="CT255" s="41"/>
      <c r="CU255" s="41"/>
      <c r="CV255" s="41"/>
      <c r="CW255" s="41"/>
      <c r="CX255" s="41"/>
      <c r="CY255" s="41"/>
      <c r="CZ255" s="41"/>
    </row>
    <row r="256" spans="20:104" ht="15.75" customHeight="1" x14ac:dyDescent="0.35"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41"/>
      <c r="CB256" s="41"/>
      <c r="CC256" s="41"/>
      <c r="CD256" s="41"/>
      <c r="CE256" s="41"/>
      <c r="CF256" s="41"/>
      <c r="CG256" s="41"/>
      <c r="CH256" s="41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  <c r="CS256" s="41"/>
      <c r="CT256" s="41"/>
      <c r="CU256" s="41"/>
      <c r="CV256" s="41"/>
      <c r="CW256" s="41"/>
      <c r="CX256" s="41"/>
      <c r="CY256" s="41"/>
      <c r="CZ256" s="41"/>
    </row>
    <row r="257" spans="20:104" ht="15.75" customHeight="1" x14ac:dyDescent="0.35"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41"/>
      <c r="CB257" s="41"/>
      <c r="CC257" s="41"/>
      <c r="CD257" s="41"/>
      <c r="CE257" s="41"/>
      <c r="CF257" s="41"/>
      <c r="CG257" s="41"/>
      <c r="CH257" s="41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  <c r="CS257" s="41"/>
      <c r="CT257" s="41"/>
      <c r="CU257" s="41"/>
      <c r="CV257" s="41"/>
      <c r="CW257" s="41"/>
      <c r="CX257" s="41"/>
      <c r="CY257" s="41"/>
      <c r="CZ257" s="41"/>
    </row>
    <row r="258" spans="20:104" ht="15.75" customHeight="1" x14ac:dyDescent="0.35"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41"/>
      <c r="CB258" s="41"/>
      <c r="CC258" s="41"/>
      <c r="CD258" s="41"/>
      <c r="CE258" s="41"/>
      <c r="CF258" s="41"/>
      <c r="CG258" s="41"/>
      <c r="CH258" s="41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  <c r="CS258" s="41"/>
      <c r="CT258" s="41"/>
      <c r="CU258" s="41"/>
      <c r="CV258" s="41"/>
      <c r="CW258" s="41"/>
      <c r="CX258" s="41"/>
      <c r="CY258" s="41"/>
      <c r="CZ258" s="41"/>
    </row>
    <row r="259" spans="20:104" ht="15.75" customHeight="1" x14ac:dyDescent="0.35"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41"/>
      <c r="CB259" s="41"/>
      <c r="CC259" s="41"/>
      <c r="CD259" s="41"/>
      <c r="CE259" s="41"/>
      <c r="CF259" s="41"/>
      <c r="CG259" s="41"/>
      <c r="CH259" s="41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  <c r="CS259" s="41"/>
      <c r="CT259" s="41"/>
      <c r="CU259" s="41"/>
      <c r="CV259" s="41"/>
      <c r="CW259" s="41"/>
      <c r="CX259" s="41"/>
      <c r="CY259" s="41"/>
      <c r="CZ259" s="41"/>
    </row>
    <row r="260" spans="20:104" ht="15.75" customHeight="1" x14ac:dyDescent="0.35"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41"/>
      <c r="CB260" s="41"/>
      <c r="CC260" s="41"/>
      <c r="CD260" s="41"/>
      <c r="CE260" s="41"/>
      <c r="CF260" s="41"/>
      <c r="CG260" s="41"/>
      <c r="CH260" s="41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  <c r="CS260" s="41"/>
      <c r="CT260" s="41"/>
      <c r="CU260" s="41"/>
      <c r="CV260" s="41"/>
      <c r="CW260" s="41"/>
      <c r="CX260" s="41"/>
      <c r="CY260" s="41"/>
      <c r="CZ260" s="41"/>
    </row>
    <row r="261" spans="20:104" ht="15.75" customHeight="1" x14ac:dyDescent="0.35"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41"/>
      <c r="CB261" s="41"/>
      <c r="CC261" s="41"/>
      <c r="CD261" s="41"/>
      <c r="CE261" s="41"/>
      <c r="CF261" s="41"/>
      <c r="CG261" s="41"/>
      <c r="CH261" s="4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  <c r="CS261" s="41"/>
      <c r="CT261" s="41"/>
      <c r="CU261" s="41"/>
      <c r="CV261" s="41"/>
      <c r="CW261" s="41"/>
      <c r="CX261" s="41"/>
      <c r="CY261" s="41"/>
      <c r="CZ261" s="41"/>
    </row>
    <row r="262" spans="20:104" ht="15.75" customHeight="1" x14ac:dyDescent="0.35"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41"/>
      <c r="CB262" s="41"/>
      <c r="CC262" s="41"/>
      <c r="CD262" s="41"/>
      <c r="CE262" s="41"/>
      <c r="CF262" s="41"/>
      <c r="CG262" s="41"/>
      <c r="CH262" s="41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  <c r="CS262" s="41"/>
      <c r="CT262" s="41"/>
      <c r="CU262" s="41"/>
      <c r="CV262" s="41"/>
      <c r="CW262" s="41"/>
      <c r="CX262" s="41"/>
      <c r="CY262" s="41"/>
      <c r="CZ262" s="41"/>
    </row>
    <row r="263" spans="20:104" ht="15.75" customHeight="1" x14ac:dyDescent="0.35"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41"/>
      <c r="CB263" s="41"/>
      <c r="CC263" s="41"/>
      <c r="CD263" s="41"/>
      <c r="CE263" s="41"/>
      <c r="CF263" s="41"/>
      <c r="CG263" s="41"/>
      <c r="CH263" s="41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  <c r="CS263" s="41"/>
      <c r="CT263" s="41"/>
      <c r="CU263" s="41"/>
      <c r="CV263" s="41"/>
      <c r="CW263" s="41"/>
      <c r="CX263" s="41"/>
      <c r="CY263" s="41"/>
      <c r="CZ263" s="41"/>
    </row>
    <row r="264" spans="20:104" ht="15.75" customHeight="1" x14ac:dyDescent="0.35"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41"/>
      <c r="CB264" s="41"/>
      <c r="CC264" s="41"/>
      <c r="CD264" s="41"/>
      <c r="CE264" s="41"/>
      <c r="CF264" s="41"/>
      <c r="CG264" s="41"/>
      <c r="CH264" s="41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  <c r="CS264" s="41"/>
      <c r="CT264" s="41"/>
      <c r="CU264" s="41"/>
      <c r="CV264" s="41"/>
      <c r="CW264" s="41"/>
      <c r="CX264" s="41"/>
      <c r="CY264" s="41"/>
      <c r="CZ264" s="41"/>
    </row>
    <row r="265" spans="20:104" ht="15.75" customHeight="1" x14ac:dyDescent="0.35"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41"/>
      <c r="CB265" s="41"/>
      <c r="CC265" s="41"/>
      <c r="CD265" s="41"/>
      <c r="CE265" s="41"/>
      <c r="CF265" s="41"/>
      <c r="CG265" s="41"/>
      <c r="CH265" s="41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  <c r="CS265" s="41"/>
      <c r="CT265" s="41"/>
      <c r="CU265" s="41"/>
      <c r="CV265" s="41"/>
      <c r="CW265" s="41"/>
      <c r="CX265" s="41"/>
      <c r="CY265" s="41"/>
      <c r="CZ265" s="41"/>
    </row>
    <row r="266" spans="20:104" ht="15.75" customHeight="1" x14ac:dyDescent="0.35"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41"/>
      <c r="CB266" s="41"/>
      <c r="CC266" s="41"/>
      <c r="CD266" s="41"/>
      <c r="CE266" s="41"/>
      <c r="CF266" s="41"/>
      <c r="CG266" s="41"/>
      <c r="CH266" s="41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  <c r="CS266" s="41"/>
      <c r="CT266" s="41"/>
      <c r="CU266" s="41"/>
      <c r="CV266" s="41"/>
      <c r="CW266" s="41"/>
      <c r="CX266" s="41"/>
      <c r="CY266" s="41"/>
      <c r="CZ266" s="41"/>
    </row>
    <row r="267" spans="20:104" ht="15.75" customHeight="1" x14ac:dyDescent="0.35"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41"/>
      <c r="CB267" s="41"/>
      <c r="CC267" s="41"/>
      <c r="CD267" s="41"/>
      <c r="CE267" s="41"/>
      <c r="CF267" s="41"/>
      <c r="CG267" s="41"/>
      <c r="CH267" s="41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  <c r="CS267" s="41"/>
      <c r="CT267" s="41"/>
      <c r="CU267" s="41"/>
      <c r="CV267" s="41"/>
      <c r="CW267" s="41"/>
      <c r="CX267" s="41"/>
      <c r="CY267" s="41"/>
      <c r="CZ267" s="41"/>
    </row>
    <row r="268" spans="20:104" ht="15.75" customHeight="1" x14ac:dyDescent="0.35"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41"/>
      <c r="CB268" s="41"/>
      <c r="CC268" s="41"/>
      <c r="CD268" s="41"/>
      <c r="CE268" s="41"/>
      <c r="CF268" s="41"/>
      <c r="CG268" s="41"/>
      <c r="CH268" s="41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  <c r="CS268" s="41"/>
      <c r="CT268" s="41"/>
      <c r="CU268" s="41"/>
      <c r="CV268" s="41"/>
      <c r="CW268" s="41"/>
      <c r="CX268" s="41"/>
      <c r="CY268" s="41"/>
      <c r="CZ268" s="41"/>
    </row>
    <row r="269" spans="20:104" ht="15.75" customHeight="1" x14ac:dyDescent="0.35"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41"/>
      <c r="CB269" s="41"/>
      <c r="CC269" s="41"/>
      <c r="CD269" s="41"/>
      <c r="CE269" s="41"/>
      <c r="CF269" s="41"/>
      <c r="CG269" s="41"/>
      <c r="CH269" s="41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  <c r="CS269" s="41"/>
      <c r="CT269" s="41"/>
      <c r="CU269" s="41"/>
      <c r="CV269" s="41"/>
      <c r="CW269" s="41"/>
      <c r="CX269" s="41"/>
      <c r="CY269" s="41"/>
      <c r="CZ269" s="41"/>
    </row>
    <row r="270" spans="20:104" ht="15.75" customHeight="1" x14ac:dyDescent="0.35"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41"/>
      <c r="CB270" s="41"/>
      <c r="CC270" s="41"/>
      <c r="CD270" s="41"/>
      <c r="CE270" s="41"/>
      <c r="CF270" s="41"/>
      <c r="CG270" s="41"/>
      <c r="CH270" s="41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  <c r="CS270" s="41"/>
      <c r="CT270" s="41"/>
      <c r="CU270" s="41"/>
      <c r="CV270" s="41"/>
      <c r="CW270" s="41"/>
      <c r="CX270" s="41"/>
      <c r="CY270" s="41"/>
      <c r="CZ270" s="41"/>
    </row>
    <row r="271" spans="20:104" ht="15.75" customHeight="1" x14ac:dyDescent="0.35"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41"/>
      <c r="CB271" s="41"/>
      <c r="CC271" s="41"/>
      <c r="CD271" s="41"/>
      <c r="CE271" s="41"/>
      <c r="CF271" s="41"/>
      <c r="CG271" s="41"/>
      <c r="CH271" s="4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  <c r="CS271" s="41"/>
      <c r="CT271" s="41"/>
      <c r="CU271" s="41"/>
      <c r="CV271" s="41"/>
      <c r="CW271" s="41"/>
      <c r="CX271" s="41"/>
      <c r="CY271" s="41"/>
      <c r="CZ271" s="41"/>
    </row>
    <row r="272" spans="20:104" ht="15.75" customHeight="1" x14ac:dyDescent="0.35"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41"/>
      <c r="CB272" s="41"/>
      <c r="CC272" s="41"/>
      <c r="CD272" s="41"/>
      <c r="CE272" s="41"/>
      <c r="CF272" s="41"/>
      <c r="CG272" s="41"/>
      <c r="CH272" s="41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  <c r="CS272" s="41"/>
      <c r="CT272" s="41"/>
      <c r="CU272" s="41"/>
      <c r="CV272" s="41"/>
      <c r="CW272" s="41"/>
      <c r="CX272" s="41"/>
      <c r="CY272" s="41"/>
      <c r="CZ272" s="41"/>
    </row>
    <row r="273" spans="20:104" ht="15.75" customHeight="1" x14ac:dyDescent="0.35"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41"/>
      <c r="CB273" s="41"/>
      <c r="CC273" s="41"/>
      <c r="CD273" s="41"/>
      <c r="CE273" s="41"/>
      <c r="CF273" s="41"/>
      <c r="CG273" s="41"/>
      <c r="CH273" s="41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  <c r="CS273" s="41"/>
      <c r="CT273" s="41"/>
      <c r="CU273" s="41"/>
      <c r="CV273" s="41"/>
      <c r="CW273" s="41"/>
      <c r="CX273" s="41"/>
      <c r="CY273" s="41"/>
      <c r="CZ273" s="41"/>
    </row>
    <row r="274" spans="20:104" ht="15.75" customHeight="1" x14ac:dyDescent="0.35"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41"/>
      <c r="CB274" s="41"/>
      <c r="CC274" s="41"/>
      <c r="CD274" s="41"/>
      <c r="CE274" s="41"/>
      <c r="CF274" s="41"/>
      <c r="CG274" s="41"/>
      <c r="CH274" s="41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  <c r="CS274" s="41"/>
      <c r="CT274" s="41"/>
      <c r="CU274" s="41"/>
      <c r="CV274" s="41"/>
      <c r="CW274" s="41"/>
      <c r="CX274" s="41"/>
      <c r="CY274" s="41"/>
      <c r="CZ274" s="41"/>
    </row>
    <row r="275" spans="20:104" ht="15.75" customHeight="1" x14ac:dyDescent="0.35"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41"/>
      <c r="CB275" s="41"/>
      <c r="CC275" s="41"/>
      <c r="CD275" s="41"/>
      <c r="CE275" s="41"/>
      <c r="CF275" s="41"/>
      <c r="CG275" s="41"/>
      <c r="CH275" s="41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  <c r="CS275" s="41"/>
      <c r="CT275" s="41"/>
      <c r="CU275" s="41"/>
      <c r="CV275" s="41"/>
      <c r="CW275" s="41"/>
      <c r="CX275" s="41"/>
      <c r="CY275" s="41"/>
      <c r="CZ275" s="41"/>
    </row>
    <row r="276" spans="20:104" ht="15.75" customHeight="1" x14ac:dyDescent="0.35"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41"/>
      <c r="CB276" s="41"/>
      <c r="CC276" s="41"/>
      <c r="CD276" s="41"/>
      <c r="CE276" s="41"/>
      <c r="CF276" s="41"/>
      <c r="CG276" s="41"/>
      <c r="CH276" s="41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  <c r="CS276" s="41"/>
      <c r="CT276" s="41"/>
      <c r="CU276" s="41"/>
      <c r="CV276" s="41"/>
      <c r="CW276" s="41"/>
      <c r="CX276" s="41"/>
      <c r="CY276" s="41"/>
      <c r="CZ276" s="41"/>
    </row>
    <row r="277" spans="20:104" ht="15.75" customHeight="1" x14ac:dyDescent="0.35"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41"/>
      <c r="CB277" s="41"/>
      <c r="CC277" s="41"/>
      <c r="CD277" s="41"/>
      <c r="CE277" s="41"/>
      <c r="CF277" s="41"/>
      <c r="CG277" s="41"/>
      <c r="CH277" s="41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  <c r="CS277" s="41"/>
      <c r="CT277" s="41"/>
      <c r="CU277" s="41"/>
      <c r="CV277" s="41"/>
      <c r="CW277" s="41"/>
      <c r="CX277" s="41"/>
      <c r="CY277" s="41"/>
      <c r="CZ277" s="41"/>
    </row>
    <row r="278" spans="20:104" ht="15.75" customHeight="1" x14ac:dyDescent="0.35"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41"/>
      <c r="CB278" s="41"/>
      <c r="CC278" s="41"/>
      <c r="CD278" s="41"/>
      <c r="CE278" s="41"/>
      <c r="CF278" s="41"/>
      <c r="CG278" s="41"/>
      <c r="CH278" s="41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  <c r="CS278" s="41"/>
      <c r="CT278" s="41"/>
      <c r="CU278" s="41"/>
      <c r="CV278" s="41"/>
      <c r="CW278" s="41"/>
      <c r="CX278" s="41"/>
      <c r="CY278" s="41"/>
      <c r="CZ278" s="41"/>
    </row>
    <row r="279" spans="20:104" ht="15.75" customHeight="1" x14ac:dyDescent="0.35"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41"/>
      <c r="CB279" s="41"/>
      <c r="CC279" s="41"/>
      <c r="CD279" s="41"/>
      <c r="CE279" s="41"/>
      <c r="CF279" s="41"/>
      <c r="CG279" s="41"/>
      <c r="CH279" s="41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  <c r="CS279" s="41"/>
      <c r="CT279" s="41"/>
      <c r="CU279" s="41"/>
      <c r="CV279" s="41"/>
      <c r="CW279" s="41"/>
      <c r="CX279" s="41"/>
      <c r="CY279" s="41"/>
      <c r="CZ279" s="41"/>
    </row>
    <row r="280" spans="20:104" ht="15.75" customHeight="1" x14ac:dyDescent="0.35"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41"/>
      <c r="CB280" s="41"/>
      <c r="CC280" s="41"/>
      <c r="CD280" s="41"/>
      <c r="CE280" s="41"/>
      <c r="CF280" s="41"/>
      <c r="CG280" s="41"/>
      <c r="CH280" s="41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  <c r="CS280" s="41"/>
      <c r="CT280" s="41"/>
      <c r="CU280" s="41"/>
      <c r="CV280" s="41"/>
      <c r="CW280" s="41"/>
      <c r="CX280" s="41"/>
      <c r="CY280" s="41"/>
      <c r="CZ280" s="41"/>
    </row>
    <row r="281" spans="20:104" ht="15.75" customHeight="1" x14ac:dyDescent="0.35"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41"/>
      <c r="CB281" s="41"/>
      <c r="CC281" s="41"/>
      <c r="CD281" s="41"/>
      <c r="CE281" s="41"/>
      <c r="CF281" s="41"/>
      <c r="CG281" s="41"/>
      <c r="CH281" s="4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  <c r="CS281" s="41"/>
      <c r="CT281" s="41"/>
      <c r="CU281" s="41"/>
      <c r="CV281" s="41"/>
      <c r="CW281" s="41"/>
      <c r="CX281" s="41"/>
      <c r="CY281" s="41"/>
      <c r="CZ281" s="41"/>
    </row>
    <row r="282" spans="20:104" ht="15.75" customHeight="1" x14ac:dyDescent="0.35"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41"/>
      <c r="CB282" s="41"/>
      <c r="CC282" s="41"/>
      <c r="CD282" s="41"/>
      <c r="CE282" s="41"/>
      <c r="CF282" s="41"/>
      <c r="CG282" s="41"/>
      <c r="CH282" s="41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  <c r="CS282" s="41"/>
      <c r="CT282" s="41"/>
      <c r="CU282" s="41"/>
      <c r="CV282" s="41"/>
      <c r="CW282" s="41"/>
      <c r="CX282" s="41"/>
      <c r="CY282" s="41"/>
      <c r="CZ282" s="41"/>
    </row>
    <row r="283" spans="20:104" ht="15.75" customHeight="1" x14ac:dyDescent="0.35"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41"/>
      <c r="CB283" s="41"/>
      <c r="CC283" s="41"/>
      <c r="CD283" s="41"/>
      <c r="CE283" s="41"/>
      <c r="CF283" s="41"/>
      <c r="CG283" s="41"/>
      <c r="CH283" s="41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  <c r="CS283" s="41"/>
      <c r="CT283" s="41"/>
      <c r="CU283" s="41"/>
      <c r="CV283" s="41"/>
      <c r="CW283" s="41"/>
      <c r="CX283" s="41"/>
      <c r="CY283" s="41"/>
      <c r="CZ283" s="41"/>
    </row>
    <row r="284" spans="20:104" ht="15.75" customHeight="1" x14ac:dyDescent="0.35"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41"/>
      <c r="CB284" s="41"/>
      <c r="CC284" s="41"/>
      <c r="CD284" s="41"/>
      <c r="CE284" s="41"/>
      <c r="CF284" s="41"/>
      <c r="CG284" s="41"/>
      <c r="CH284" s="41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  <c r="CS284" s="41"/>
      <c r="CT284" s="41"/>
      <c r="CU284" s="41"/>
      <c r="CV284" s="41"/>
      <c r="CW284" s="41"/>
      <c r="CX284" s="41"/>
      <c r="CY284" s="41"/>
      <c r="CZ284" s="41"/>
    </row>
    <row r="285" spans="20:104" ht="15.75" customHeight="1" x14ac:dyDescent="0.35"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41"/>
      <c r="CB285" s="41"/>
      <c r="CC285" s="41"/>
      <c r="CD285" s="41"/>
      <c r="CE285" s="41"/>
      <c r="CF285" s="41"/>
      <c r="CG285" s="41"/>
      <c r="CH285" s="41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  <c r="CS285" s="41"/>
      <c r="CT285" s="41"/>
      <c r="CU285" s="41"/>
      <c r="CV285" s="41"/>
      <c r="CW285" s="41"/>
      <c r="CX285" s="41"/>
      <c r="CY285" s="41"/>
      <c r="CZ285" s="41"/>
    </row>
    <row r="286" spans="20:104" ht="15.75" customHeight="1" x14ac:dyDescent="0.35"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41"/>
      <c r="CB286" s="41"/>
      <c r="CC286" s="41"/>
      <c r="CD286" s="41"/>
      <c r="CE286" s="41"/>
      <c r="CF286" s="41"/>
      <c r="CG286" s="41"/>
      <c r="CH286" s="41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  <c r="CS286" s="41"/>
      <c r="CT286" s="41"/>
      <c r="CU286" s="41"/>
      <c r="CV286" s="41"/>
      <c r="CW286" s="41"/>
      <c r="CX286" s="41"/>
      <c r="CY286" s="41"/>
      <c r="CZ286" s="41"/>
    </row>
    <row r="287" spans="20:104" ht="15.75" customHeight="1" x14ac:dyDescent="0.35"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41"/>
      <c r="CB287" s="41"/>
      <c r="CC287" s="41"/>
      <c r="CD287" s="41"/>
      <c r="CE287" s="41"/>
      <c r="CF287" s="41"/>
      <c r="CG287" s="41"/>
      <c r="CH287" s="41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  <c r="CS287" s="41"/>
      <c r="CT287" s="41"/>
      <c r="CU287" s="41"/>
      <c r="CV287" s="41"/>
      <c r="CW287" s="41"/>
      <c r="CX287" s="41"/>
      <c r="CY287" s="41"/>
      <c r="CZ287" s="41"/>
    </row>
    <row r="288" spans="20:104" ht="15.75" customHeight="1" x14ac:dyDescent="0.35"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41"/>
      <c r="CB288" s="41"/>
      <c r="CC288" s="41"/>
      <c r="CD288" s="41"/>
      <c r="CE288" s="41"/>
      <c r="CF288" s="41"/>
      <c r="CG288" s="41"/>
      <c r="CH288" s="41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  <c r="CS288" s="41"/>
      <c r="CT288" s="41"/>
      <c r="CU288" s="41"/>
      <c r="CV288" s="41"/>
      <c r="CW288" s="41"/>
      <c r="CX288" s="41"/>
      <c r="CY288" s="41"/>
      <c r="CZ288" s="41"/>
    </row>
    <row r="289" spans="20:104" ht="15.75" customHeight="1" x14ac:dyDescent="0.35"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41"/>
      <c r="CB289" s="41"/>
      <c r="CC289" s="41"/>
      <c r="CD289" s="41"/>
      <c r="CE289" s="41"/>
      <c r="CF289" s="41"/>
      <c r="CG289" s="41"/>
      <c r="CH289" s="41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  <c r="CS289" s="41"/>
      <c r="CT289" s="41"/>
      <c r="CU289" s="41"/>
      <c r="CV289" s="41"/>
      <c r="CW289" s="41"/>
      <c r="CX289" s="41"/>
      <c r="CY289" s="41"/>
      <c r="CZ289" s="41"/>
    </row>
    <row r="290" spans="20:104" ht="15.75" customHeight="1" x14ac:dyDescent="0.35"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41"/>
      <c r="CB290" s="41"/>
      <c r="CC290" s="41"/>
      <c r="CD290" s="41"/>
      <c r="CE290" s="41"/>
      <c r="CF290" s="41"/>
      <c r="CG290" s="41"/>
      <c r="CH290" s="41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  <c r="CS290" s="41"/>
      <c r="CT290" s="41"/>
      <c r="CU290" s="41"/>
      <c r="CV290" s="41"/>
      <c r="CW290" s="41"/>
      <c r="CX290" s="41"/>
      <c r="CY290" s="41"/>
      <c r="CZ290" s="41"/>
    </row>
    <row r="291" spans="20:104" ht="15.75" customHeight="1" x14ac:dyDescent="0.35"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41"/>
      <c r="CB291" s="41"/>
      <c r="CC291" s="41"/>
      <c r="CD291" s="41"/>
      <c r="CE291" s="41"/>
      <c r="CF291" s="41"/>
      <c r="CG291" s="41"/>
      <c r="CH291" s="4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  <c r="CS291" s="41"/>
      <c r="CT291" s="41"/>
      <c r="CU291" s="41"/>
      <c r="CV291" s="41"/>
      <c r="CW291" s="41"/>
      <c r="CX291" s="41"/>
      <c r="CY291" s="41"/>
      <c r="CZ291" s="41"/>
    </row>
    <row r="292" spans="20:104" ht="15.75" customHeight="1" x14ac:dyDescent="0.35"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41"/>
      <c r="CB292" s="41"/>
      <c r="CC292" s="41"/>
      <c r="CD292" s="41"/>
      <c r="CE292" s="41"/>
      <c r="CF292" s="41"/>
      <c r="CG292" s="41"/>
      <c r="CH292" s="41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  <c r="CS292" s="41"/>
      <c r="CT292" s="41"/>
      <c r="CU292" s="41"/>
      <c r="CV292" s="41"/>
      <c r="CW292" s="41"/>
      <c r="CX292" s="41"/>
      <c r="CY292" s="41"/>
      <c r="CZ292" s="41"/>
    </row>
    <row r="293" spans="20:104" ht="15.75" customHeight="1" x14ac:dyDescent="0.35"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</row>
    <row r="294" spans="20:104" ht="15.75" customHeight="1" x14ac:dyDescent="0.35"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41"/>
      <c r="CB294" s="41"/>
      <c r="CC294" s="41"/>
      <c r="CD294" s="41"/>
      <c r="CE294" s="41"/>
      <c r="CF294" s="41"/>
      <c r="CG294" s="41"/>
      <c r="CH294" s="41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  <c r="CS294" s="41"/>
      <c r="CT294" s="41"/>
      <c r="CU294" s="41"/>
      <c r="CV294" s="41"/>
      <c r="CW294" s="41"/>
      <c r="CX294" s="41"/>
      <c r="CY294" s="41"/>
      <c r="CZ294" s="41"/>
    </row>
    <row r="295" spans="20:104" ht="15.75" customHeight="1" x14ac:dyDescent="0.35"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</row>
    <row r="296" spans="20:104" ht="15.75" customHeight="1" x14ac:dyDescent="0.35"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41"/>
      <c r="CB296" s="41"/>
      <c r="CC296" s="41"/>
      <c r="CD296" s="41"/>
      <c r="CE296" s="41"/>
      <c r="CF296" s="41"/>
      <c r="CG296" s="41"/>
      <c r="CH296" s="41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  <c r="CS296" s="41"/>
      <c r="CT296" s="41"/>
      <c r="CU296" s="41"/>
      <c r="CV296" s="41"/>
      <c r="CW296" s="41"/>
      <c r="CX296" s="41"/>
      <c r="CY296" s="41"/>
      <c r="CZ296" s="41"/>
    </row>
    <row r="297" spans="20:104" ht="15.75" customHeight="1" x14ac:dyDescent="0.35"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</row>
    <row r="298" spans="20:104" ht="15.75" customHeight="1" x14ac:dyDescent="0.35"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41"/>
      <c r="CB298" s="41"/>
      <c r="CC298" s="41"/>
      <c r="CD298" s="41"/>
      <c r="CE298" s="41"/>
      <c r="CF298" s="41"/>
      <c r="CG298" s="41"/>
      <c r="CH298" s="41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  <c r="CS298" s="41"/>
      <c r="CT298" s="41"/>
      <c r="CU298" s="41"/>
      <c r="CV298" s="41"/>
      <c r="CW298" s="41"/>
      <c r="CX298" s="41"/>
      <c r="CY298" s="41"/>
      <c r="CZ298" s="41"/>
    </row>
    <row r="299" spans="20:104" ht="15.75" customHeight="1" x14ac:dyDescent="0.35"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41"/>
      <c r="CB299" s="41"/>
      <c r="CC299" s="41"/>
      <c r="CD299" s="41"/>
      <c r="CE299" s="41"/>
      <c r="CF299" s="41"/>
      <c r="CG299" s="41"/>
      <c r="CH299" s="41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  <c r="CS299" s="41"/>
      <c r="CT299" s="41"/>
      <c r="CU299" s="41"/>
      <c r="CV299" s="41"/>
      <c r="CW299" s="41"/>
      <c r="CX299" s="41"/>
      <c r="CY299" s="41"/>
      <c r="CZ299" s="41"/>
    </row>
    <row r="300" spans="20:104" ht="15.75" customHeight="1" x14ac:dyDescent="0.35"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41"/>
      <c r="CB300" s="41"/>
      <c r="CC300" s="41"/>
      <c r="CD300" s="41"/>
      <c r="CE300" s="41"/>
      <c r="CF300" s="41"/>
      <c r="CG300" s="41"/>
      <c r="CH300" s="41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  <c r="CS300" s="41"/>
      <c r="CT300" s="41"/>
      <c r="CU300" s="41"/>
      <c r="CV300" s="41"/>
      <c r="CW300" s="41"/>
      <c r="CX300" s="41"/>
      <c r="CY300" s="41"/>
      <c r="CZ300" s="41"/>
    </row>
    <row r="301" spans="20:104" ht="15.75" customHeight="1" x14ac:dyDescent="0.35"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41"/>
      <c r="CB301" s="41"/>
      <c r="CC301" s="41"/>
      <c r="CD301" s="41"/>
      <c r="CE301" s="41"/>
      <c r="CF301" s="41"/>
      <c r="CG301" s="41"/>
      <c r="CH301" s="4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  <c r="CS301" s="41"/>
      <c r="CT301" s="41"/>
      <c r="CU301" s="41"/>
      <c r="CV301" s="41"/>
      <c r="CW301" s="41"/>
      <c r="CX301" s="41"/>
      <c r="CY301" s="41"/>
      <c r="CZ301" s="41"/>
    </row>
    <row r="302" spans="20:104" ht="15.75" customHeight="1" x14ac:dyDescent="0.35"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41"/>
      <c r="CB302" s="41"/>
      <c r="CC302" s="41"/>
      <c r="CD302" s="41"/>
      <c r="CE302" s="41"/>
      <c r="CF302" s="41"/>
      <c r="CG302" s="41"/>
      <c r="CH302" s="41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  <c r="CS302" s="41"/>
      <c r="CT302" s="41"/>
      <c r="CU302" s="41"/>
      <c r="CV302" s="41"/>
      <c r="CW302" s="41"/>
      <c r="CX302" s="41"/>
      <c r="CY302" s="41"/>
      <c r="CZ302" s="41"/>
    </row>
  </sheetData>
  <autoFilter ref="A1:CV103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Pepe</cp:lastModifiedBy>
  <dcterms:modified xsi:type="dcterms:W3CDTF">2026-05-20T13:06:57Z</dcterms:modified>
</cp:coreProperties>
</file>